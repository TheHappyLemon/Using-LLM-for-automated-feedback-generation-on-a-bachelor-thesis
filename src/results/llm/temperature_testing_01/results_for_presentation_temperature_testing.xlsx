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D:\repos\Using-LLM-for-automated-feedback-generation-on-a-bachelor-thesis\src\results\llm\temperature_testing_01\"/>
    </mc:Choice>
  </mc:AlternateContent>
  <xr:revisionPtr revIDLastSave="0" documentId="13_ncr:1_{70B04551-EB2D-4F62-A2BB-14422593F359}" xr6:coauthVersionLast="47" xr6:coauthVersionMax="47" xr10:uidLastSave="{00000000-0000-0000-0000-000000000000}"/>
  <bookViews>
    <workbookView xWindow="-28920" yWindow="15" windowWidth="29040" windowHeight="15720" xr2:uid="{00000000-000D-0000-FFFF-FFFF00000000}"/>
  </bookViews>
  <sheets>
    <sheet name="gemma4-26b-q4" sheetId="2" r:id="rId1"/>
    <sheet name="GPT-OSS-20b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1" i="1" l="1"/>
  <c r="F42" i="1"/>
  <c r="F40" i="1"/>
  <c r="F34" i="1"/>
  <c r="F35" i="1"/>
  <c r="F33" i="1"/>
  <c r="F27" i="1"/>
  <c r="F28" i="1"/>
  <c r="F26" i="1"/>
  <c r="F19" i="1"/>
  <c r="F20" i="1"/>
  <c r="F18" i="1"/>
  <c r="F12" i="1"/>
  <c r="F13" i="1"/>
  <c r="F11" i="1"/>
  <c r="F6" i="1"/>
  <c r="F5" i="1"/>
  <c r="F4" i="1"/>
  <c r="F41" i="2"/>
  <c r="F42" i="2"/>
  <c r="F40" i="2"/>
  <c r="F34" i="2"/>
  <c r="F35" i="2"/>
  <c r="F33" i="2"/>
  <c r="F27" i="2"/>
  <c r="F28" i="2"/>
  <c r="F26" i="2"/>
  <c r="F19" i="2"/>
  <c r="F20" i="2"/>
  <c r="F18" i="2"/>
  <c r="F12" i="2"/>
  <c r="F13" i="2"/>
  <c r="F11" i="2"/>
  <c r="F5" i="2"/>
  <c r="F6" i="2"/>
  <c r="F4" i="2"/>
</calcChain>
</file>

<file path=xl/sharedStrings.xml><?xml version="1.0" encoding="utf-8"?>
<sst xmlns="http://schemas.openxmlformats.org/spreadsheetml/2006/main" count="218" uniqueCount="37">
  <si>
    <t>temperatūra</t>
  </si>
  <si>
    <t>Pozitīva precizitāte</t>
  </si>
  <si>
    <t>Pozitīvs pārklājums</t>
  </si>
  <si>
    <t>Pozitīvs F1</t>
  </si>
  <si>
    <t>Makro F1</t>
  </si>
  <si>
    <t>Koena kappa</t>
  </si>
  <si>
    <t>model vs human1 results</t>
  </si>
  <si>
    <t>model vs human2  results</t>
  </si>
  <si>
    <t>model vs human3  results</t>
  </si>
  <si>
    <t>model vs human1 SD</t>
  </si>
  <si>
    <t>model vs human2 SD</t>
  </si>
  <si>
    <t>model vs human3 SD</t>
  </si>
  <si>
    <t>RESULTS AFTER PARSING RESPONSES WITH JSON-REPAIR</t>
  </si>
  <si>
    <t>ORIGINAL RESULTS</t>
  </si>
  <si>
    <t>Makro F1 diff</t>
  </si>
  <si>
    <t>OG</t>
  </si>
  <si>
    <t>JSON-repair</t>
  </si>
  <si>
    <t>human1</t>
  </si>
  <si>
    <t>human2</t>
  </si>
  <si>
    <t>human3</t>
  </si>
  <si>
    <t>F1 makro from initial testing with t=0 and 1 iteration</t>
  </si>
  <si>
    <t>87.28 (0.00)</t>
  </si>
  <si>
    <t>87.22 (0.15)</t>
  </si>
  <si>
    <t>87.15 (0.25)</t>
  </si>
  <si>
    <t>76.21 (0.00)</t>
  </si>
  <si>
    <t>76.11 (0.34)</t>
  </si>
  <si>
    <t>76.12 (0.37)</t>
  </si>
  <si>
    <t>83.91 (0.00)</t>
  </si>
  <si>
    <t>84.18 (0.24)</t>
  </si>
  <si>
    <t>84.08 (0.20)</t>
  </si>
  <si>
    <t>0.00</t>
  </si>
  <si>
    <t>-0.06</t>
  </si>
  <si>
    <t>-0.12</t>
  </si>
  <si>
    <t>0.00%</t>
  </si>
  <si>
    <t>-0.10%</t>
  </si>
  <si>
    <t>F1 makro diff</t>
  </si>
  <si>
    <t>Temperatūra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</si>
</sst>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00"/>
    <numFmt numFmtId="165" formatCode="0.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C6EFCE"/>
      </patternFill>
    </fill>
    <fill>
      <patternFill patternType="solid">
        <fgColor rgb="FFFFC7CE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2" fillId="2" borderId="0" applyNumberFormat="0" applyBorder="0" applyAlignment="0" applyProtection="0"/>
    <xf numFmtId="0" fontId="3" fillId="3" borderId="0" applyNumberFormat="0" applyBorder="0" applyAlignment="0" applyProtection="0"/>
    <xf numFmtId="0" fontId="4" fillId="4" borderId="0" applyNumberFormat="0" applyBorder="0" applyAlignment="0" applyProtection="0"/>
  </cellStyleXfs>
  <cellXfs count="36">
    <xf numFmtId="0" fontId="0" fillId="0" borderId="0" xfId="0"/>
    <xf numFmtId="2" fontId="0" fillId="0" borderId="0" xfId="0" applyNumberFormat="1"/>
    <xf numFmtId="2" fontId="1" fillId="0" borderId="1" xfId="0" applyNumberFormat="1" applyFont="1" applyBorder="1"/>
    <xf numFmtId="165" fontId="0" fillId="0" borderId="1" xfId="0" applyNumberFormat="1" applyBorder="1"/>
    <xf numFmtId="165" fontId="0" fillId="0" borderId="0" xfId="0" applyNumberFormat="1"/>
    <xf numFmtId="165" fontId="1" fillId="0" borderId="1" xfId="0" applyNumberFormat="1" applyFont="1" applyBorder="1"/>
    <xf numFmtId="10" fontId="1" fillId="0" borderId="1" xfId="0" applyNumberFormat="1" applyFont="1" applyBorder="1"/>
    <xf numFmtId="10" fontId="0" fillId="0" borderId="1" xfId="0" applyNumberFormat="1" applyBorder="1"/>
    <xf numFmtId="10" fontId="0" fillId="0" borderId="0" xfId="0" applyNumberFormat="1"/>
    <xf numFmtId="10" fontId="0" fillId="0" borderId="1" xfId="0" quotePrefix="1" applyNumberFormat="1" applyBorder="1"/>
    <xf numFmtId="10" fontId="1" fillId="0" borderId="0" xfId="0" applyNumberFormat="1" applyFont="1"/>
    <xf numFmtId="0" fontId="1" fillId="0" borderId="1" xfId="0" applyFont="1" applyBorder="1"/>
    <xf numFmtId="0" fontId="1" fillId="0" borderId="0" xfId="0" applyFont="1"/>
    <xf numFmtId="0" fontId="1" fillId="0" borderId="3" xfId="0" applyFont="1" applyBorder="1"/>
    <xf numFmtId="10" fontId="1" fillId="0" borderId="3" xfId="0" applyNumberFormat="1" applyFont="1" applyBorder="1"/>
    <xf numFmtId="10" fontId="2" fillId="2" borderId="1" xfId="1" applyNumberFormat="1" applyBorder="1"/>
    <xf numFmtId="2" fontId="0" fillId="0" borderId="1" xfId="0" applyNumberFormat="1" applyBorder="1"/>
    <xf numFmtId="0" fontId="1" fillId="0" borderId="1" xfId="0" applyFont="1" applyBorder="1" applyAlignment="1">
      <alignment horizontal="center"/>
    </xf>
    <xf numFmtId="10" fontId="1" fillId="0" borderId="1" xfId="0" applyNumberFormat="1" applyFont="1" applyBorder="1" applyAlignment="1">
      <alignment horizontal="center"/>
    </xf>
    <xf numFmtId="0" fontId="2" fillId="2" borderId="0" xfId="1" applyAlignment="1">
      <alignment horizontal="center" vertical="center"/>
    </xf>
    <xf numFmtId="0" fontId="2" fillId="2" borderId="0" xfId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10" fontId="1" fillId="0" borderId="2" xfId="0" applyNumberFormat="1" applyFont="1" applyBorder="1" applyAlignment="1">
      <alignment horizontal="center"/>
    </xf>
    <xf numFmtId="10" fontId="1" fillId="0" borderId="4" xfId="0" applyNumberFormat="1" applyFont="1" applyBorder="1" applyAlignment="1">
      <alignment horizontal="center"/>
    </xf>
    <xf numFmtId="10" fontId="1" fillId="0" borderId="5" xfId="0" applyNumberFormat="1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10" fontId="1" fillId="0" borderId="0" xfId="0" applyNumberFormat="1" applyFont="1" applyBorder="1"/>
    <xf numFmtId="10" fontId="0" fillId="0" borderId="0" xfId="0" applyNumberFormat="1" applyBorder="1"/>
    <xf numFmtId="49" fontId="0" fillId="0" borderId="1" xfId="0" applyNumberFormat="1" applyBorder="1" applyAlignment="1">
      <alignment horizontal="center" vertical="center"/>
    </xf>
    <xf numFmtId="49" fontId="2" fillId="2" borderId="1" xfId="1" applyNumberFormat="1" applyBorder="1" applyAlignment="1">
      <alignment horizontal="center" vertical="center"/>
    </xf>
    <xf numFmtId="49" fontId="4" fillId="4" borderId="1" xfId="3" applyNumberFormat="1" applyBorder="1" applyAlignment="1">
      <alignment horizontal="center" vertical="center"/>
    </xf>
    <xf numFmtId="10" fontId="3" fillId="3" borderId="1" xfId="2" applyNumberFormat="1" applyBorder="1"/>
  </cellXfs>
  <cellStyles count="4">
    <cellStyle name="Bad" xfId="3" builtinId="27"/>
    <cellStyle name="Good" xfId="2" builtinId="26"/>
    <cellStyle name="Neutral" xfId="1" builtinId="28"/>
    <cellStyle name="Normal" xfId="0" builtinId="0"/>
  </cellStyles>
  <dxfs count="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0FD20B-D6B3-444D-8CDB-F1C6BAEC8830}">
  <dimension ref="A1:W42"/>
  <sheetViews>
    <sheetView tabSelected="1" topLeftCell="F22" workbookViewId="0">
      <selection activeCell="R49" sqref="R49"/>
    </sheetView>
  </sheetViews>
  <sheetFormatPr defaultRowHeight="15" x14ac:dyDescent="0.25"/>
  <cols>
    <col min="1" max="1" width="16.28515625" customWidth="1"/>
    <col min="2" max="2" width="21" style="8" customWidth="1"/>
    <col min="3" max="3" width="23" style="8" customWidth="1"/>
    <col min="4" max="4" width="15.42578125" style="8" customWidth="1"/>
    <col min="5" max="6" width="14.42578125" style="8" customWidth="1"/>
    <col min="7" max="7" width="15.42578125" style="8" customWidth="1"/>
    <col min="9" max="9" width="16" style="8" customWidth="1"/>
    <col min="10" max="10" width="23" style="8" customWidth="1"/>
    <col min="11" max="11" width="18.42578125" style="8" customWidth="1"/>
    <col min="12" max="12" width="17.28515625" style="8" customWidth="1"/>
    <col min="13" max="13" width="17" style="8" customWidth="1"/>
    <col min="14" max="14" width="15.5703125" style="8" customWidth="1"/>
    <col min="16" max="16" width="12.5703125" customWidth="1"/>
    <col min="17" max="18" width="15" customWidth="1"/>
    <col min="19" max="20" width="16.140625" customWidth="1"/>
    <col min="21" max="21" width="15.42578125" customWidth="1"/>
    <col min="22" max="22" width="13.7109375" customWidth="1"/>
  </cols>
  <sheetData>
    <row r="1" spans="1:23" x14ac:dyDescent="0.25">
      <c r="A1" s="20" t="s">
        <v>13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23" x14ac:dyDescent="0.25">
      <c r="A2" s="17" t="s">
        <v>6</v>
      </c>
      <c r="B2" s="17"/>
      <c r="C2" s="17"/>
      <c r="D2" s="17"/>
      <c r="E2" s="17"/>
      <c r="F2" s="17"/>
      <c r="G2" s="17"/>
      <c r="H2" s="1"/>
      <c r="I2" s="18" t="s">
        <v>9</v>
      </c>
      <c r="J2" s="18"/>
      <c r="K2" s="18"/>
      <c r="L2" s="18"/>
      <c r="M2" s="18"/>
      <c r="N2" s="18"/>
      <c r="P2" s="21" t="s">
        <v>20</v>
      </c>
      <c r="Q2" s="22"/>
      <c r="R2" s="22"/>
      <c r="S2" s="22"/>
      <c r="T2" s="22"/>
      <c r="U2" s="22"/>
      <c r="V2" s="22"/>
      <c r="W2" s="23"/>
    </row>
    <row r="3" spans="1:23" x14ac:dyDescent="0.25">
      <c r="A3" s="2" t="s">
        <v>0</v>
      </c>
      <c r="B3" s="6" t="s">
        <v>1</v>
      </c>
      <c r="C3" s="6" t="s">
        <v>2</v>
      </c>
      <c r="D3" s="6" t="s">
        <v>3</v>
      </c>
      <c r="E3" s="6" t="s">
        <v>4</v>
      </c>
      <c r="F3" s="6" t="s">
        <v>14</v>
      </c>
      <c r="G3" s="6" t="s">
        <v>5</v>
      </c>
      <c r="H3" s="1"/>
      <c r="I3" s="6" t="s">
        <v>0</v>
      </c>
      <c r="J3" s="6" t="s">
        <v>1</v>
      </c>
      <c r="K3" s="6" t="s">
        <v>2</v>
      </c>
      <c r="L3" s="6" t="s">
        <v>3</v>
      </c>
      <c r="M3" s="6" t="s">
        <v>4</v>
      </c>
      <c r="N3" s="6" t="s">
        <v>5</v>
      </c>
      <c r="P3" s="13"/>
      <c r="Q3" s="14" t="s">
        <v>15</v>
      </c>
      <c r="R3" s="14"/>
      <c r="S3" s="14" t="s">
        <v>16</v>
      </c>
      <c r="T3" s="30"/>
      <c r="U3" s="12"/>
      <c r="V3" s="12"/>
      <c r="W3" s="12"/>
    </row>
    <row r="4" spans="1:23" x14ac:dyDescent="0.25">
      <c r="A4" s="3">
        <v>0</v>
      </c>
      <c r="B4" s="7">
        <v>0.86658195679796601</v>
      </c>
      <c r="C4" s="7">
        <v>0.93681318681318604</v>
      </c>
      <c r="D4" s="7">
        <v>0.90033003300329995</v>
      </c>
      <c r="E4" s="7">
        <v>0.86783131966413596</v>
      </c>
      <c r="F4" s="15">
        <f>E4-$Q$4</f>
        <v>0</v>
      </c>
      <c r="G4" s="7">
        <v>0.73632332330032302</v>
      </c>
      <c r="H4" s="1"/>
      <c r="I4" s="7">
        <v>0</v>
      </c>
      <c r="J4" s="9">
        <v>0</v>
      </c>
      <c r="K4" s="7">
        <v>0</v>
      </c>
      <c r="L4" s="7">
        <v>0</v>
      </c>
      <c r="M4" s="7">
        <v>0</v>
      </c>
      <c r="N4" s="7">
        <v>0</v>
      </c>
      <c r="P4" s="11" t="s">
        <v>17</v>
      </c>
      <c r="Q4" s="7">
        <v>0.86783131966413596</v>
      </c>
      <c r="R4" s="7"/>
      <c r="S4" s="7">
        <v>0.87275111483504597</v>
      </c>
      <c r="T4" s="31"/>
    </row>
    <row r="5" spans="1:23" x14ac:dyDescent="0.25">
      <c r="A5" s="3">
        <v>0.5</v>
      </c>
      <c r="B5" s="7">
        <v>0.86470422231483601</v>
      </c>
      <c r="C5" s="7">
        <v>0.94464285714285701</v>
      </c>
      <c r="D5" s="7">
        <v>0.90290345278527495</v>
      </c>
      <c r="E5" s="7">
        <v>0.87007647968240898</v>
      </c>
      <c r="F5" s="7">
        <f t="shared" ref="F5:F6" si="0">E5-$Q$4</f>
        <v>2.245160018273018E-3</v>
      </c>
      <c r="G5" s="7">
        <v>0.74100120292315597</v>
      </c>
      <c r="H5" s="1"/>
      <c r="I5" s="7">
        <v>0.5</v>
      </c>
      <c r="J5" s="7">
        <v>1.5825144691276401E-3</v>
      </c>
      <c r="K5" s="7">
        <v>4.6399301522127602E-3</v>
      </c>
      <c r="L5" s="7">
        <v>2.6523160355263801E-3</v>
      </c>
      <c r="M5" s="7">
        <v>3.1729453716925699E-3</v>
      </c>
      <c r="N5" s="7">
        <v>6.3891111178268596E-3</v>
      </c>
      <c r="P5" s="11" t="s">
        <v>18</v>
      </c>
      <c r="Q5" s="7">
        <v>0.75742934996829503</v>
      </c>
      <c r="R5" s="7"/>
      <c r="S5" s="7">
        <v>0.76214905902143104</v>
      </c>
      <c r="T5" s="31"/>
    </row>
    <row r="6" spans="1:23" x14ac:dyDescent="0.25">
      <c r="A6" s="3">
        <v>1</v>
      </c>
      <c r="B6" s="7">
        <v>0.86398282763146395</v>
      </c>
      <c r="C6" s="7">
        <v>0.93804945054944999</v>
      </c>
      <c r="D6" s="7">
        <v>0.89948390781018805</v>
      </c>
      <c r="E6" s="7">
        <v>0.86624316615166796</v>
      </c>
      <c r="F6" s="7">
        <f t="shared" si="0"/>
        <v>-1.5881535124679935E-3</v>
      </c>
      <c r="G6" s="7">
        <v>0.73323581734427201</v>
      </c>
      <c r="H6" s="1"/>
      <c r="I6" s="7">
        <v>1</v>
      </c>
      <c r="J6" s="7">
        <v>2.7816543924288699E-3</v>
      </c>
      <c r="K6" s="7">
        <v>8.3203668796196593E-3</v>
      </c>
      <c r="L6" s="7">
        <v>5.08266169141344E-3</v>
      </c>
      <c r="M6" s="7">
        <v>6.0980346746056799E-3</v>
      </c>
      <c r="N6" s="7">
        <v>1.2269072714577599E-2</v>
      </c>
      <c r="P6" s="11" t="s">
        <v>19</v>
      </c>
      <c r="Q6" s="7">
        <v>0.83605451044510404</v>
      </c>
      <c r="R6" s="7"/>
      <c r="S6" s="7">
        <v>0.83914274034009595</v>
      </c>
      <c r="T6" s="31"/>
    </row>
    <row r="7" spans="1:23" x14ac:dyDescent="0.25">
      <c r="A7" s="4"/>
      <c r="H7" s="1"/>
    </row>
    <row r="8" spans="1:23" x14ac:dyDescent="0.25">
      <c r="A8" s="4"/>
      <c r="H8" s="1"/>
    </row>
    <row r="9" spans="1:23" x14ac:dyDescent="0.25">
      <c r="A9" s="17" t="s">
        <v>7</v>
      </c>
      <c r="B9" s="17"/>
      <c r="C9" s="17"/>
      <c r="D9" s="17"/>
      <c r="E9" s="17"/>
      <c r="F9" s="17"/>
      <c r="G9" s="17"/>
      <c r="H9" s="1"/>
      <c r="I9" s="18" t="s">
        <v>10</v>
      </c>
      <c r="J9" s="18"/>
      <c r="K9" s="18"/>
      <c r="L9" s="18"/>
      <c r="M9" s="18"/>
      <c r="N9" s="18"/>
    </row>
    <row r="10" spans="1:23" x14ac:dyDescent="0.25">
      <c r="A10" s="5" t="s">
        <v>0</v>
      </c>
      <c r="B10" s="6" t="s">
        <v>1</v>
      </c>
      <c r="C10" s="6" t="s">
        <v>2</v>
      </c>
      <c r="D10" s="6" t="s">
        <v>3</v>
      </c>
      <c r="E10" s="6" t="s">
        <v>4</v>
      </c>
      <c r="F10" s="6" t="s">
        <v>14</v>
      </c>
      <c r="G10" s="6" t="s">
        <v>5</v>
      </c>
      <c r="H10" s="1"/>
      <c r="I10" s="6" t="s">
        <v>0</v>
      </c>
      <c r="J10" s="6" t="s">
        <v>1</v>
      </c>
      <c r="K10" s="6" t="s">
        <v>2</v>
      </c>
      <c r="L10" s="6" t="s">
        <v>3</v>
      </c>
      <c r="M10" s="6" t="s">
        <v>4</v>
      </c>
      <c r="N10" s="6" t="s">
        <v>5</v>
      </c>
    </row>
    <row r="11" spans="1:23" x14ac:dyDescent="0.25">
      <c r="A11" s="3">
        <v>0</v>
      </c>
      <c r="B11" s="7">
        <v>0.677255400254129</v>
      </c>
      <c r="C11" s="7">
        <v>0.93508771929824497</v>
      </c>
      <c r="D11" s="7">
        <v>0.78555637435519499</v>
      </c>
      <c r="E11" s="7">
        <v>0.75742934996829503</v>
      </c>
      <c r="F11" s="15">
        <f>E11-$Q$5</f>
        <v>0</v>
      </c>
      <c r="G11" s="7">
        <v>0.530029272231755</v>
      </c>
      <c r="H11" s="1"/>
      <c r="I11" s="7">
        <v>0</v>
      </c>
      <c r="J11" s="7">
        <v>0</v>
      </c>
      <c r="K11" s="7">
        <v>0</v>
      </c>
      <c r="L11" s="7">
        <v>0</v>
      </c>
      <c r="M11" s="7">
        <v>0</v>
      </c>
      <c r="N11" s="7">
        <v>0</v>
      </c>
    </row>
    <row r="12" spans="1:23" x14ac:dyDescent="0.25">
      <c r="A12" s="3">
        <v>0.5</v>
      </c>
      <c r="B12" s="7">
        <v>0.678108385709152</v>
      </c>
      <c r="C12" s="7">
        <v>0.94614035087719295</v>
      </c>
      <c r="D12" s="7">
        <v>0.79000559950443905</v>
      </c>
      <c r="E12" s="7">
        <v>0.76061708189307897</v>
      </c>
      <c r="F12" s="7">
        <f t="shared" ref="F12:F13" si="1">E12-$Q$5</f>
        <v>3.1877319247839431E-3</v>
      </c>
      <c r="G12" s="7">
        <v>0.53736061265073598</v>
      </c>
      <c r="H12" s="1"/>
      <c r="I12" s="7">
        <v>0.5</v>
      </c>
      <c r="J12" s="7">
        <v>3.2766920511978601E-3</v>
      </c>
      <c r="K12" s="7">
        <v>6.2299231244086397E-3</v>
      </c>
      <c r="L12" s="7">
        <v>4.1202598423994699E-3</v>
      </c>
      <c r="M12" s="7">
        <v>4.4556769780229096E-3</v>
      </c>
      <c r="N12" s="7">
        <v>8.7360066675477906E-3</v>
      </c>
    </row>
    <row r="13" spans="1:23" x14ac:dyDescent="0.25">
      <c r="A13" s="3">
        <v>1</v>
      </c>
      <c r="B13" s="7">
        <v>0.67850898277712401</v>
      </c>
      <c r="C13" s="7">
        <v>0.94087719298245598</v>
      </c>
      <c r="D13" s="7">
        <v>0.78843038376132402</v>
      </c>
      <c r="E13" s="7">
        <v>0.75993558816800999</v>
      </c>
      <c r="F13" s="7">
        <f t="shared" si="1"/>
        <v>2.5062381997149608E-3</v>
      </c>
      <c r="G13" s="7">
        <v>0.53535335397119299</v>
      </c>
      <c r="H13" s="1"/>
      <c r="I13" s="7">
        <v>1</v>
      </c>
      <c r="J13" s="7">
        <v>2.7393041358206899E-3</v>
      </c>
      <c r="K13" s="7">
        <v>8.7032398279385508E-3</v>
      </c>
      <c r="L13" s="7">
        <v>4.6234739381984099E-3</v>
      </c>
      <c r="M13" s="7">
        <v>4.3780834165333404E-3</v>
      </c>
      <c r="N13" s="7">
        <v>8.9825721331164999E-3</v>
      </c>
    </row>
    <row r="14" spans="1:23" x14ac:dyDescent="0.25">
      <c r="A14" s="4"/>
      <c r="H14" s="1"/>
    </row>
    <row r="15" spans="1:23" x14ac:dyDescent="0.25">
      <c r="A15" s="4"/>
      <c r="H15" s="1"/>
    </row>
    <row r="16" spans="1:23" x14ac:dyDescent="0.25">
      <c r="A16" s="17" t="s">
        <v>8</v>
      </c>
      <c r="B16" s="17"/>
      <c r="C16" s="17"/>
      <c r="D16" s="17"/>
      <c r="E16" s="17"/>
      <c r="F16" s="17"/>
      <c r="G16" s="17"/>
      <c r="H16" s="1"/>
      <c r="I16" s="18" t="s">
        <v>11</v>
      </c>
      <c r="J16" s="18"/>
      <c r="K16" s="18"/>
      <c r="L16" s="18"/>
      <c r="M16" s="18"/>
      <c r="N16" s="18"/>
    </row>
    <row r="17" spans="1:22" x14ac:dyDescent="0.25">
      <c r="A17" s="5" t="s">
        <v>0</v>
      </c>
      <c r="B17" s="6" t="s">
        <v>1</v>
      </c>
      <c r="C17" s="6" t="s">
        <v>2</v>
      </c>
      <c r="D17" s="6" t="s">
        <v>3</v>
      </c>
      <c r="E17" s="6" t="s">
        <v>4</v>
      </c>
      <c r="F17" s="6" t="s">
        <v>14</v>
      </c>
      <c r="G17" s="6" t="s">
        <v>5</v>
      </c>
      <c r="H17" s="1"/>
      <c r="I17" s="6" t="s">
        <v>0</v>
      </c>
      <c r="J17" s="6" t="s">
        <v>1</v>
      </c>
      <c r="K17" s="6" t="s">
        <v>2</v>
      </c>
      <c r="L17" s="6" t="s">
        <v>3</v>
      </c>
      <c r="M17" s="6" t="s">
        <v>4</v>
      </c>
      <c r="N17" s="6" t="s">
        <v>5</v>
      </c>
    </row>
    <row r="18" spans="1:22" x14ac:dyDescent="0.25">
      <c r="A18" s="3">
        <v>0</v>
      </c>
      <c r="B18" s="7">
        <v>0.89199491740787795</v>
      </c>
      <c r="C18" s="7">
        <v>0.87969924812029998</v>
      </c>
      <c r="D18" s="7">
        <v>0.88580441640378504</v>
      </c>
      <c r="E18" s="7">
        <v>0.83605451044510404</v>
      </c>
      <c r="F18" s="7">
        <f>E18-$Q$6</f>
        <v>0</v>
      </c>
      <c r="G18" s="7">
        <v>0.67213857126683996</v>
      </c>
      <c r="H18" s="1"/>
      <c r="I18" s="7">
        <v>0</v>
      </c>
      <c r="J18" s="7">
        <v>0</v>
      </c>
      <c r="K18" s="7">
        <v>0</v>
      </c>
      <c r="L18" s="7">
        <v>0</v>
      </c>
      <c r="M18" s="7">
        <v>0</v>
      </c>
      <c r="N18" s="7">
        <v>0</v>
      </c>
    </row>
    <row r="19" spans="1:22" x14ac:dyDescent="0.25">
      <c r="A19" s="3">
        <v>0.5</v>
      </c>
      <c r="B19" s="7">
        <v>0.89111061145925796</v>
      </c>
      <c r="C19" s="7">
        <v>0.88809523809523805</v>
      </c>
      <c r="D19" s="7">
        <v>0.88959622419697404</v>
      </c>
      <c r="E19" s="7">
        <v>0.83993788616379295</v>
      </c>
      <c r="F19" s="7">
        <f t="shared" ref="F19:F20" si="2">E19-$Q$6</f>
        <v>3.8833757186889084E-3</v>
      </c>
      <c r="G19" s="7">
        <v>0.67988043932810005</v>
      </c>
      <c r="H19" s="1"/>
      <c r="I19" s="7">
        <v>0.5</v>
      </c>
      <c r="J19" s="7">
        <v>2.3394410523621101E-3</v>
      </c>
      <c r="K19" s="7">
        <v>4.4145150260171797E-3</v>
      </c>
      <c r="L19" s="7">
        <v>2.9750369323296002E-3</v>
      </c>
      <c r="M19" s="7">
        <v>3.9247325753674596E-3</v>
      </c>
      <c r="N19" s="7">
        <v>7.8450627154047492E-3</v>
      </c>
    </row>
    <row r="20" spans="1:22" x14ac:dyDescent="0.25">
      <c r="A20" s="3">
        <v>1</v>
      </c>
      <c r="B20" s="7">
        <v>0.89068807962548202</v>
      </c>
      <c r="C20" s="7">
        <v>0.88220551378446099</v>
      </c>
      <c r="D20" s="7">
        <v>0.88641653581075097</v>
      </c>
      <c r="E20" s="7">
        <v>0.83629689588767397</v>
      </c>
      <c r="F20" s="7">
        <f t="shared" si="2"/>
        <v>2.4238544256993677E-4</v>
      </c>
      <c r="G20" s="7">
        <v>0.672615121309315</v>
      </c>
      <c r="H20" s="1"/>
      <c r="I20" s="7">
        <v>1</v>
      </c>
      <c r="J20" s="7">
        <v>1.75585465191171E-3</v>
      </c>
      <c r="K20" s="7">
        <v>6.19001956653056E-3</v>
      </c>
      <c r="L20" s="7">
        <v>3.4855699905592201E-3</v>
      </c>
      <c r="M20" s="7">
        <v>4.1677879017123299E-3</v>
      </c>
      <c r="N20" s="7">
        <v>8.3177852835428102E-3</v>
      </c>
    </row>
    <row r="22" spans="1:22" x14ac:dyDescent="0.25">
      <c r="A22" s="19" t="s">
        <v>12</v>
      </c>
      <c r="B22" s="19"/>
      <c r="C22" s="19"/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9"/>
    </row>
    <row r="23" spans="1:22" x14ac:dyDescent="0.25">
      <c r="A23" s="19"/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</row>
    <row r="24" spans="1:22" x14ac:dyDescent="0.25">
      <c r="A24" s="17" t="s">
        <v>6</v>
      </c>
      <c r="B24" s="17"/>
      <c r="C24" s="17"/>
      <c r="D24" s="17"/>
      <c r="E24" s="17"/>
      <c r="F24" s="17"/>
      <c r="G24" s="17"/>
      <c r="H24" s="1"/>
      <c r="I24" s="18" t="s">
        <v>9</v>
      </c>
      <c r="J24" s="18"/>
      <c r="K24" s="18"/>
      <c r="L24" s="18"/>
      <c r="M24" s="18"/>
      <c r="N24" s="18"/>
    </row>
    <row r="25" spans="1:22" x14ac:dyDescent="0.25">
      <c r="A25" s="2" t="s">
        <v>0</v>
      </c>
      <c r="B25" s="6" t="s">
        <v>1</v>
      </c>
      <c r="C25" s="6" t="s">
        <v>2</v>
      </c>
      <c r="D25" s="6" t="s">
        <v>3</v>
      </c>
      <c r="E25" s="6" t="s">
        <v>4</v>
      </c>
      <c r="F25" s="6" t="s">
        <v>14</v>
      </c>
      <c r="G25" s="6" t="s">
        <v>5</v>
      </c>
      <c r="H25" s="1"/>
      <c r="I25" s="5" t="s">
        <v>0</v>
      </c>
      <c r="J25" s="6" t="s">
        <v>1</v>
      </c>
      <c r="K25" s="6" t="s">
        <v>2</v>
      </c>
      <c r="L25" s="6" t="s">
        <v>3</v>
      </c>
      <c r="M25" s="6" t="s">
        <v>4</v>
      </c>
      <c r="N25" s="6" t="s">
        <v>5</v>
      </c>
      <c r="P25" s="6" t="s">
        <v>36</v>
      </c>
      <c r="Q25" s="6" t="s">
        <v>17</v>
      </c>
      <c r="R25" s="6" t="s">
        <v>35</v>
      </c>
      <c r="S25" s="6" t="s">
        <v>18</v>
      </c>
      <c r="T25" s="6" t="s">
        <v>35</v>
      </c>
      <c r="U25" s="6" t="s">
        <v>19</v>
      </c>
      <c r="V25" s="6" t="s">
        <v>35</v>
      </c>
    </row>
    <row r="26" spans="1:22" x14ac:dyDescent="0.25">
      <c r="A26" s="3">
        <v>0</v>
      </c>
      <c r="B26" s="7">
        <v>0.86759142496847397</v>
      </c>
      <c r="C26" s="7">
        <v>0.94505494505494503</v>
      </c>
      <c r="D26" s="7">
        <v>0.90466798159105799</v>
      </c>
      <c r="E26" s="7">
        <v>0.87275111483504597</v>
      </c>
      <c r="F26" s="15">
        <f>E26-$S$4</f>
        <v>0</v>
      </c>
      <c r="G26" s="7">
        <v>0.74627587318398403</v>
      </c>
      <c r="H26" s="1"/>
      <c r="I26" s="3">
        <v>0</v>
      </c>
      <c r="J26" s="7">
        <v>1.11022302462515E-16</v>
      </c>
      <c r="K26" s="7">
        <v>0</v>
      </c>
      <c r="L26" s="7">
        <v>1.11022302462515E-16</v>
      </c>
      <c r="M26" s="7">
        <v>1.11022302462515E-16</v>
      </c>
      <c r="N26" s="7">
        <v>0</v>
      </c>
      <c r="P26" s="5">
        <v>0</v>
      </c>
      <c r="Q26" s="32" t="s">
        <v>21</v>
      </c>
      <c r="R26" s="33" t="s">
        <v>30</v>
      </c>
      <c r="S26" s="32" t="s">
        <v>24</v>
      </c>
      <c r="T26" s="33" t="s">
        <v>33</v>
      </c>
      <c r="U26" s="32" t="s">
        <v>27</v>
      </c>
      <c r="V26" s="15">
        <v>0</v>
      </c>
    </row>
    <row r="27" spans="1:22" x14ac:dyDescent="0.25">
      <c r="A27" s="3">
        <v>0.5</v>
      </c>
      <c r="B27" s="7">
        <v>0.86496494468691798</v>
      </c>
      <c r="C27" s="7">
        <v>0.94848901098901095</v>
      </c>
      <c r="D27" s="7">
        <v>0.90480150825392403</v>
      </c>
      <c r="E27" s="7">
        <v>0.87218703823246901</v>
      </c>
      <c r="F27" s="7">
        <f t="shared" ref="F27:F28" si="3">E27-$S$4</f>
        <v>-5.6407660257695724E-4</v>
      </c>
      <c r="G27" s="7">
        <v>0.74528554852179296</v>
      </c>
      <c r="H27" s="1"/>
      <c r="I27" s="3">
        <v>0.5</v>
      </c>
      <c r="J27" s="7">
        <v>1.4481916272306599E-3</v>
      </c>
      <c r="K27" s="7">
        <v>2.55139775013827E-3</v>
      </c>
      <c r="L27" s="7">
        <v>1.49109949452904E-3</v>
      </c>
      <c r="M27" s="7">
        <v>1.88981681695983E-3</v>
      </c>
      <c r="N27" s="7">
        <v>3.7826538607856198E-3</v>
      </c>
      <c r="P27" s="5">
        <v>0.5</v>
      </c>
      <c r="Q27" s="32" t="s">
        <v>22</v>
      </c>
      <c r="R27" s="34" t="s">
        <v>31</v>
      </c>
      <c r="S27" s="32" t="s">
        <v>25</v>
      </c>
      <c r="T27" s="34" t="s">
        <v>34</v>
      </c>
      <c r="U27" s="32" t="s">
        <v>28</v>
      </c>
      <c r="V27" s="35">
        <v>2.7000000000000001E-3</v>
      </c>
    </row>
    <row r="28" spans="1:22" x14ac:dyDescent="0.25">
      <c r="A28" s="3">
        <v>1</v>
      </c>
      <c r="B28" s="7">
        <v>0.86492043150009501</v>
      </c>
      <c r="C28" s="7">
        <v>0.947252747252747</v>
      </c>
      <c r="D28" s="7">
        <v>0.90421486956710195</v>
      </c>
      <c r="E28" s="7">
        <v>0.87154089656349598</v>
      </c>
      <c r="F28" s="7">
        <f t="shared" si="3"/>
        <v>-1.2102182715499898E-3</v>
      </c>
      <c r="G28" s="7">
        <v>0.74397147644116701</v>
      </c>
      <c r="H28" s="1"/>
      <c r="I28" s="3">
        <v>1</v>
      </c>
      <c r="J28" s="7">
        <v>2.4123247322085199E-3</v>
      </c>
      <c r="K28" s="7">
        <v>3.1443744896317602E-3</v>
      </c>
      <c r="L28" s="7">
        <v>2.51820255872929E-3</v>
      </c>
      <c r="M28" s="7">
        <v>3.3312296337136699E-3</v>
      </c>
      <c r="N28" s="7">
        <v>6.6456744597317803E-3</v>
      </c>
      <c r="P28" s="5">
        <v>1</v>
      </c>
      <c r="Q28" s="32" t="s">
        <v>23</v>
      </c>
      <c r="R28" s="34" t="s">
        <v>32</v>
      </c>
      <c r="S28" s="32" t="s">
        <v>26</v>
      </c>
      <c r="T28" s="34" t="s">
        <v>34</v>
      </c>
      <c r="U28" s="32" t="s">
        <v>29</v>
      </c>
      <c r="V28" s="35">
        <v>1.6999999999999999E-3</v>
      </c>
    </row>
    <row r="29" spans="1:22" x14ac:dyDescent="0.25">
      <c r="A29" s="4"/>
      <c r="H29" s="1"/>
      <c r="I29" s="4"/>
    </row>
    <row r="30" spans="1:22" x14ac:dyDescent="0.25">
      <c r="A30" s="4"/>
      <c r="H30" s="1"/>
      <c r="I30" s="4"/>
    </row>
    <row r="31" spans="1:22" x14ac:dyDescent="0.25">
      <c r="A31" s="17" t="s">
        <v>7</v>
      </c>
      <c r="B31" s="17"/>
      <c r="C31" s="17"/>
      <c r="D31" s="17"/>
      <c r="E31" s="17"/>
      <c r="F31" s="17"/>
      <c r="G31" s="17"/>
      <c r="H31" s="1"/>
      <c r="I31" s="18" t="s">
        <v>10</v>
      </c>
      <c r="J31" s="18"/>
      <c r="K31" s="18"/>
      <c r="L31" s="18"/>
      <c r="M31" s="18"/>
      <c r="N31" s="18"/>
    </row>
    <row r="32" spans="1:22" x14ac:dyDescent="0.25">
      <c r="A32" s="5" t="s">
        <v>0</v>
      </c>
      <c r="B32" s="6" t="s">
        <v>1</v>
      </c>
      <c r="C32" s="6" t="s">
        <v>2</v>
      </c>
      <c r="D32" s="6" t="s">
        <v>3</v>
      </c>
      <c r="E32" s="6" t="s">
        <v>4</v>
      </c>
      <c r="F32" s="6" t="s">
        <v>14</v>
      </c>
      <c r="G32" s="6" t="s">
        <v>5</v>
      </c>
      <c r="H32" s="1"/>
      <c r="I32" s="5" t="s">
        <v>0</v>
      </c>
      <c r="J32" s="6" t="s">
        <v>1</v>
      </c>
      <c r="K32" s="6" t="s">
        <v>2</v>
      </c>
      <c r="L32" s="6" t="s">
        <v>3</v>
      </c>
      <c r="M32" s="6" t="s">
        <v>4</v>
      </c>
      <c r="N32" s="6" t="s">
        <v>5</v>
      </c>
    </row>
    <row r="33" spans="1:14" x14ac:dyDescent="0.25">
      <c r="A33" s="3">
        <v>0</v>
      </c>
      <c r="B33" s="7">
        <v>0.679697351828499</v>
      </c>
      <c r="C33" s="7">
        <v>0.94561403508771902</v>
      </c>
      <c r="D33" s="7">
        <v>0.79090242112985998</v>
      </c>
      <c r="E33" s="7">
        <v>0.76214905902143104</v>
      </c>
      <c r="F33" s="15">
        <f>E33-$S$5</f>
        <v>0</v>
      </c>
      <c r="G33" s="7">
        <v>0.53999798244729103</v>
      </c>
      <c r="H33" s="1"/>
      <c r="I33" s="3">
        <v>0</v>
      </c>
      <c r="J33" s="7">
        <v>1.11022302462515E-16</v>
      </c>
      <c r="K33" s="7">
        <v>2.2204460492503101E-16</v>
      </c>
      <c r="L33" s="7">
        <v>0</v>
      </c>
      <c r="M33" s="7">
        <v>1.11022302462515E-16</v>
      </c>
      <c r="N33" s="7">
        <v>0</v>
      </c>
    </row>
    <row r="34" spans="1:14" x14ac:dyDescent="0.25">
      <c r="A34" s="3">
        <v>0.5</v>
      </c>
      <c r="B34" s="7">
        <v>0.67794544796088296</v>
      </c>
      <c r="C34" s="7">
        <v>0.94947368421052603</v>
      </c>
      <c r="D34" s="7">
        <v>0.79105617642171899</v>
      </c>
      <c r="E34" s="7">
        <v>0.76113620796544801</v>
      </c>
      <c r="F34" s="7">
        <f t="shared" ref="F34:F35" si="4">E34-$S$5</f>
        <v>-1.0128510559830328E-3</v>
      </c>
      <c r="G34" s="7">
        <v>0.53879257568424199</v>
      </c>
      <c r="H34" s="1"/>
      <c r="I34" s="3">
        <v>0.5</v>
      </c>
      <c r="J34" s="7">
        <v>2.78338792904868E-3</v>
      </c>
      <c r="K34" s="7">
        <v>3.2158425929514601E-3</v>
      </c>
      <c r="L34" s="7">
        <v>2.7917758148176802E-3</v>
      </c>
      <c r="M34" s="7">
        <v>3.4041766551847099E-3</v>
      </c>
      <c r="N34" s="7">
        <v>6.4234051318114698E-3</v>
      </c>
    </row>
    <row r="35" spans="1:14" x14ac:dyDescent="0.25">
      <c r="A35" s="3">
        <v>1</v>
      </c>
      <c r="B35" s="7">
        <v>0.67816415813073405</v>
      </c>
      <c r="C35" s="7">
        <v>0.94859649122806999</v>
      </c>
      <c r="D35" s="7">
        <v>0.79090080821367603</v>
      </c>
      <c r="E35" s="7">
        <v>0.76118718198817104</v>
      </c>
      <c r="F35" s="7">
        <f t="shared" si="4"/>
        <v>-9.6187703326000573E-4</v>
      </c>
      <c r="G35" s="7">
        <v>0.53874524797935097</v>
      </c>
      <c r="H35" s="1"/>
      <c r="I35" s="3">
        <v>1</v>
      </c>
      <c r="J35" s="7">
        <v>2.7685724833205901E-3</v>
      </c>
      <c r="K35" s="7">
        <v>4.4417504916393199E-3</v>
      </c>
      <c r="L35" s="7">
        <v>3.29268096203514E-3</v>
      </c>
      <c r="M35" s="7">
        <v>3.6973369419993699E-3</v>
      </c>
      <c r="N35" s="7">
        <v>7.1695983414559999E-3</v>
      </c>
    </row>
    <row r="36" spans="1:14" x14ac:dyDescent="0.25">
      <c r="A36" s="4"/>
      <c r="H36" s="1"/>
      <c r="I36" s="4"/>
    </row>
    <row r="37" spans="1:14" x14ac:dyDescent="0.25">
      <c r="A37" s="4"/>
      <c r="H37" s="1"/>
      <c r="I37" s="4"/>
    </row>
    <row r="38" spans="1:14" x14ac:dyDescent="0.25">
      <c r="A38" s="17" t="s">
        <v>8</v>
      </c>
      <c r="B38" s="17"/>
      <c r="C38" s="17"/>
      <c r="D38" s="17"/>
      <c r="E38" s="17"/>
      <c r="F38" s="17"/>
      <c r="G38" s="17"/>
      <c r="H38" s="1"/>
      <c r="I38" s="18" t="s">
        <v>11</v>
      </c>
      <c r="J38" s="18"/>
      <c r="K38" s="18"/>
      <c r="L38" s="18"/>
      <c r="M38" s="18"/>
      <c r="N38" s="18"/>
    </row>
    <row r="39" spans="1:14" x14ac:dyDescent="0.25">
      <c r="A39" s="5" t="s">
        <v>0</v>
      </c>
      <c r="B39" s="6" t="s">
        <v>1</v>
      </c>
      <c r="C39" s="6" t="s">
        <v>2</v>
      </c>
      <c r="D39" s="6" t="s">
        <v>3</v>
      </c>
      <c r="E39" s="6" t="s">
        <v>4</v>
      </c>
      <c r="F39" s="6" t="s">
        <v>14</v>
      </c>
      <c r="G39" s="6" t="s">
        <v>5</v>
      </c>
      <c r="H39" s="1"/>
      <c r="I39" s="5" t="s">
        <v>0</v>
      </c>
      <c r="J39" s="6" t="s">
        <v>1</v>
      </c>
      <c r="K39" s="6" t="s">
        <v>2</v>
      </c>
      <c r="L39" s="6" t="s">
        <v>3</v>
      </c>
      <c r="M39" s="6" t="s">
        <v>4</v>
      </c>
      <c r="N39" s="6" t="s">
        <v>5</v>
      </c>
    </row>
    <row r="40" spans="1:14" x14ac:dyDescent="0.25">
      <c r="A40" s="3">
        <v>0</v>
      </c>
      <c r="B40" s="7">
        <v>0.89155107187894</v>
      </c>
      <c r="C40" s="7">
        <v>0.88596491228070096</v>
      </c>
      <c r="D40" s="7">
        <v>0.88874921433060905</v>
      </c>
      <c r="E40" s="7">
        <v>0.83914274034009595</v>
      </c>
      <c r="F40" s="15">
        <f>E40-$S$6</f>
        <v>0</v>
      </c>
      <c r="G40" s="7">
        <v>0.67829149153697599</v>
      </c>
      <c r="H40" s="1"/>
      <c r="I40" s="3">
        <v>0</v>
      </c>
      <c r="J40" s="7">
        <v>2.2204460492503101E-16</v>
      </c>
      <c r="K40" s="7">
        <v>0</v>
      </c>
      <c r="L40" s="7">
        <v>0</v>
      </c>
      <c r="M40" s="7">
        <v>0</v>
      </c>
      <c r="N40" s="7">
        <v>0</v>
      </c>
    </row>
    <row r="41" spans="1:14" x14ac:dyDescent="0.25">
      <c r="A41" s="3">
        <v>0.5</v>
      </c>
      <c r="B41" s="7">
        <v>0.89114733105788602</v>
      </c>
      <c r="C41" s="7">
        <v>0.89147869674185398</v>
      </c>
      <c r="D41" s="7">
        <v>0.89131101514514</v>
      </c>
      <c r="E41" s="7">
        <v>0.84184930332704</v>
      </c>
      <c r="F41" s="7">
        <f t="shared" ref="F41:F42" si="5">E41-$S$6</f>
        <v>2.70656298694405E-3</v>
      </c>
      <c r="G41" s="7">
        <v>0.68369995655466598</v>
      </c>
      <c r="H41" s="1"/>
      <c r="I41" s="3">
        <v>0.5</v>
      </c>
      <c r="J41" s="7">
        <v>2.06530906058162E-3</v>
      </c>
      <c r="K41" s="7">
        <v>2.1849117511481999E-3</v>
      </c>
      <c r="L41" s="7">
        <v>1.6635474441448899E-3</v>
      </c>
      <c r="M41" s="7">
        <v>2.43978306183152E-3</v>
      </c>
      <c r="N41" s="7">
        <v>4.8795443122810998E-3</v>
      </c>
    </row>
    <row r="42" spans="1:14" x14ac:dyDescent="0.25">
      <c r="A42" s="3">
        <v>1</v>
      </c>
      <c r="B42" s="7">
        <v>0.89088496454579702</v>
      </c>
      <c r="C42" s="7">
        <v>0.89010025062656595</v>
      </c>
      <c r="D42" s="7">
        <v>0.89049103237981997</v>
      </c>
      <c r="E42" s="7">
        <v>0.840845976291132</v>
      </c>
      <c r="F42" s="7">
        <f t="shared" si="5"/>
        <v>1.7032359510360529E-3</v>
      </c>
      <c r="G42" s="7">
        <v>0.68169302812209098</v>
      </c>
      <c r="H42" s="1"/>
      <c r="I42" s="3">
        <v>1</v>
      </c>
      <c r="J42" s="7">
        <v>1.8154149998048799E-3</v>
      </c>
      <c r="K42" s="7">
        <v>1.5900473108332799E-3</v>
      </c>
      <c r="L42" s="7">
        <v>1.29033758130042E-3</v>
      </c>
      <c r="M42" s="7">
        <v>1.9650259057602398E-3</v>
      </c>
      <c r="N42" s="7">
        <v>3.9298128180308301E-3</v>
      </c>
    </row>
  </sheetData>
  <mergeCells count="15">
    <mergeCell ref="A1:N1"/>
    <mergeCell ref="P2:W2"/>
    <mergeCell ref="A24:G24"/>
    <mergeCell ref="I24:N24"/>
    <mergeCell ref="A31:G31"/>
    <mergeCell ref="I31:N31"/>
    <mergeCell ref="A38:G38"/>
    <mergeCell ref="I38:N38"/>
    <mergeCell ref="A2:G2"/>
    <mergeCell ref="I2:N2"/>
    <mergeCell ref="A9:G9"/>
    <mergeCell ref="I9:N9"/>
    <mergeCell ref="A16:G16"/>
    <mergeCell ref="I16:N16"/>
    <mergeCell ref="A22:N23"/>
  </mergeCells>
  <conditionalFormatting sqref="F1:F1048576">
    <cfRule type="cellIs" dxfId="5" priority="1" operator="lessThan">
      <formula>0</formula>
    </cfRule>
    <cfRule type="cellIs" dxfId="4" priority="2" operator="greaterThan">
      <formula>0</formula>
    </cfRule>
  </conditionalFormatting>
  <conditionalFormatting sqref="Q4:R4">
    <cfRule type="colorScale" priority="8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Q5:R5">
    <cfRule type="colorScale" priority="6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Q6:R6">
    <cfRule type="colorScale" priority="5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S4:T4">
    <cfRule type="colorScale" priority="7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S5:T5">
    <cfRule type="colorScale" priority="4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S6:T6">
    <cfRule type="colorScale" priority="3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42"/>
  <sheetViews>
    <sheetView workbookViewId="0">
      <selection activeCell="Q24" sqref="Q24"/>
    </sheetView>
  </sheetViews>
  <sheetFormatPr defaultRowHeight="15" x14ac:dyDescent="0.25"/>
  <cols>
    <col min="1" max="1" width="18.28515625" style="1" customWidth="1"/>
    <col min="2" max="2" width="20.140625" style="8" customWidth="1"/>
    <col min="3" max="3" width="20.85546875" style="8" customWidth="1"/>
    <col min="4" max="4" width="17.7109375" style="8" customWidth="1"/>
    <col min="5" max="5" width="12.7109375" style="8" customWidth="1"/>
    <col min="6" max="6" width="14.140625" style="8" customWidth="1"/>
    <col min="7" max="7" width="13.85546875" style="1" customWidth="1"/>
    <col min="8" max="8" width="15.85546875" style="4" customWidth="1"/>
    <col min="9" max="9" width="18.5703125" style="1" customWidth="1"/>
    <col min="10" max="10" width="20.42578125" style="8" customWidth="1"/>
    <col min="11" max="11" width="19.5703125" style="8" customWidth="1"/>
    <col min="12" max="12" width="12.140625" style="8" customWidth="1"/>
    <col min="13" max="13" width="13.28515625" style="8" customWidth="1"/>
    <col min="14" max="14" width="13.5703125" customWidth="1"/>
    <col min="18" max="18" width="13.28515625" customWidth="1"/>
  </cols>
  <sheetData>
    <row r="1" spans="1:21" x14ac:dyDescent="0.25">
      <c r="A1" s="20" t="s">
        <v>13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21" x14ac:dyDescent="0.25">
      <c r="A2" s="27" t="s">
        <v>6</v>
      </c>
      <c r="B2" s="28"/>
      <c r="C2" s="28"/>
      <c r="D2" s="28"/>
      <c r="E2" s="28"/>
      <c r="F2" s="28"/>
      <c r="G2" s="28"/>
      <c r="I2" s="29" t="s">
        <v>9</v>
      </c>
      <c r="J2" s="29"/>
      <c r="K2" s="29"/>
      <c r="L2" s="29"/>
      <c r="M2" s="29"/>
      <c r="N2" s="29"/>
    </row>
    <row r="3" spans="1:21" x14ac:dyDescent="0.25">
      <c r="A3" s="2" t="s">
        <v>0</v>
      </c>
      <c r="B3" s="6" t="s">
        <v>1</v>
      </c>
      <c r="C3" s="6" t="s">
        <v>2</v>
      </c>
      <c r="D3" s="6" t="s">
        <v>3</v>
      </c>
      <c r="E3" s="6" t="s">
        <v>4</v>
      </c>
      <c r="F3" s="6" t="s">
        <v>14</v>
      </c>
      <c r="G3" s="6" t="s">
        <v>5</v>
      </c>
      <c r="I3" s="2" t="s">
        <v>0</v>
      </c>
      <c r="J3" s="6" t="s">
        <v>1</v>
      </c>
      <c r="K3" s="6" t="s">
        <v>2</v>
      </c>
      <c r="L3" s="6" t="s">
        <v>3</v>
      </c>
      <c r="M3" s="6" t="s">
        <v>4</v>
      </c>
      <c r="N3" s="6" t="s">
        <v>5</v>
      </c>
      <c r="P3" s="21" t="s">
        <v>20</v>
      </c>
      <c r="Q3" s="22"/>
      <c r="R3" s="22"/>
      <c r="S3" s="22"/>
      <c r="T3" s="22"/>
      <c r="U3" s="23"/>
    </row>
    <row r="4" spans="1:21" x14ac:dyDescent="0.25">
      <c r="A4" s="16">
        <v>0</v>
      </c>
      <c r="B4" s="7">
        <v>0.90079784918781403</v>
      </c>
      <c r="C4" s="7">
        <v>0.85302197802197699</v>
      </c>
      <c r="D4" s="7">
        <v>0.87624973584661003</v>
      </c>
      <c r="E4" s="7">
        <v>0.85168636941259801</v>
      </c>
      <c r="F4" s="7">
        <f>E4-$Q$5</f>
        <v>1.5724127285519973E-2</v>
      </c>
      <c r="G4" s="7">
        <v>0.70368404512316896</v>
      </c>
      <c r="I4" s="16">
        <v>0</v>
      </c>
      <c r="J4" s="7">
        <v>2.9136181726262299E-3</v>
      </c>
      <c r="K4" s="7">
        <v>3.9334673250758997E-3</v>
      </c>
      <c r="L4" s="7">
        <v>2.0200156267348801E-3</v>
      </c>
      <c r="M4" s="7">
        <v>2.24649152789945E-3</v>
      </c>
      <c r="N4" s="7">
        <v>4.4760786228040302E-3</v>
      </c>
      <c r="P4" s="13"/>
      <c r="Q4" s="14" t="s">
        <v>15</v>
      </c>
      <c r="R4" s="14" t="s">
        <v>16</v>
      </c>
      <c r="S4" s="12"/>
      <c r="T4" s="12"/>
      <c r="U4" s="12"/>
    </row>
    <row r="5" spans="1:21" x14ac:dyDescent="0.25">
      <c r="A5" s="16">
        <v>0.5</v>
      </c>
      <c r="B5" s="7">
        <v>0.90452780922405995</v>
      </c>
      <c r="C5" s="7">
        <v>0.83131868131868103</v>
      </c>
      <c r="D5" s="7">
        <v>0.86634686155859597</v>
      </c>
      <c r="E5" s="7">
        <v>0.84297889063682097</v>
      </c>
      <c r="F5" s="7">
        <f>E5-$Q$5</f>
        <v>7.0166485097429288E-3</v>
      </c>
      <c r="G5" s="7">
        <v>0.68672719365495505</v>
      </c>
      <c r="I5" s="16">
        <v>0.5</v>
      </c>
      <c r="J5" s="7">
        <v>6.5122422347781801E-3</v>
      </c>
      <c r="K5" s="7">
        <v>9.7479093402253695E-3</v>
      </c>
      <c r="L5" s="7">
        <v>6.6599573790513504E-3</v>
      </c>
      <c r="M5" s="7">
        <v>7.2637750227528301E-3</v>
      </c>
      <c r="N5" s="7">
        <v>1.44101747321142E-2</v>
      </c>
      <c r="P5" s="11" t="s">
        <v>17</v>
      </c>
      <c r="Q5" s="7">
        <v>0.83596224212707804</v>
      </c>
      <c r="R5" s="8">
        <v>0.83596224212707804</v>
      </c>
    </row>
    <row r="6" spans="1:21" x14ac:dyDescent="0.25">
      <c r="A6" s="16">
        <v>1</v>
      </c>
      <c r="B6" s="7">
        <v>0.90448335311697203</v>
      </c>
      <c r="C6" s="7">
        <v>0.81414835164835098</v>
      </c>
      <c r="D6" s="7">
        <v>0.85691405597203496</v>
      </c>
      <c r="E6" s="7">
        <v>0.83411282542487297</v>
      </c>
      <c r="F6" s="7">
        <f>E6-$Q$5</f>
        <v>-1.8494167022050645E-3</v>
      </c>
      <c r="G6" s="7">
        <v>0.66944772824958798</v>
      </c>
      <c r="I6" s="16">
        <v>1</v>
      </c>
      <c r="J6" s="7">
        <v>4.9133078389275798E-3</v>
      </c>
      <c r="K6" s="7">
        <v>9.3578139177203697E-3</v>
      </c>
      <c r="L6" s="7">
        <v>6.1590328433094796E-3</v>
      </c>
      <c r="M6" s="7">
        <v>6.3865113196029701E-3</v>
      </c>
      <c r="N6" s="7">
        <v>1.2577494328024E-2</v>
      </c>
      <c r="P6" s="11" t="s">
        <v>18</v>
      </c>
      <c r="Q6" s="6">
        <v>0.77657591690481198</v>
      </c>
      <c r="R6" s="10">
        <v>0.77657591690481198</v>
      </c>
    </row>
    <row r="7" spans="1:21" x14ac:dyDescent="0.25">
      <c r="G7" s="8"/>
      <c r="N7" s="8"/>
      <c r="P7" s="11" t="s">
        <v>19</v>
      </c>
      <c r="Q7" s="7">
        <v>0.78122833990975704</v>
      </c>
      <c r="R7" s="8">
        <v>0.78122833990975704</v>
      </c>
    </row>
    <row r="8" spans="1:21" x14ac:dyDescent="0.25">
      <c r="G8" s="8"/>
      <c r="N8" s="8"/>
    </row>
    <row r="9" spans="1:21" x14ac:dyDescent="0.25">
      <c r="A9" s="21" t="s">
        <v>7</v>
      </c>
      <c r="B9" s="22"/>
      <c r="C9" s="22"/>
      <c r="D9" s="22"/>
      <c r="E9" s="22"/>
      <c r="F9" s="22"/>
      <c r="G9" s="23"/>
      <c r="I9" s="29" t="s">
        <v>10</v>
      </c>
      <c r="J9" s="29"/>
      <c r="K9" s="29"/>
      <c r="L9" s="29"/>
      <c r="M9" s="29"/>
      <c r="N9" s="29"/>
    </row>
    <row r="10" spans="1:21" x14ac:dyDescent="0.25">
      <c r="A10" s="2" t="s">
        <v>0</v>
      </c>
      <c r="B10" s="6" t="s">
        <v>1</v>
      </c>
      <c r="C10" s="6" t="s">
        <v>2</v>
      </c>
      <c r="D10" s="6" t="s">
        <v>3</v>
      </c>
      <c r="E10" s="6" t="s">
        <v>4</v>
      </c>
      <c r="F10" s="6" t="s">
        <v>14</v>
      </c>
      <c r="G10" s="6" t="s">
        <v>5</v>
      </c>
      <c r="I10" s="2" t="s">
        <v>0</v>
      </c>
      <c r="J10" s="6" t="s">
        <v>1</v>
      </c>
      <c r="K10" s="6" t="s">
        <v>2</v>
      </c>
      <c r="L10" s="6" t="s">
        <v>3</v>
      </c>
      <c r="M10" s="6" t="s">
        <v>4</v>
      </c>
      <c r="N10" s="6" t="s">
        <v>5</v>
      </c>
    </row>
    <row r="11" spans="1:21" x14ac:dyDescent="0.25">
      <c r="A11" s="16">
        <v>0</v>
      </c>
      <c r="B11" s="7">
        <v>0.71439661370665997</v>
      </c>
      <c r="C11" s="7">
        <v>0.86403508771929804</v>
      </c>
      <c r="D11" s="7">
        <v>0.78211444101669403</v>
      </c>
      <c r="E11" s="7">
        <v>0.77405126857954498</v>
      </c>
      <c r="F11" s="7">
        <f>E11-$Q$6</f>
        <v>-2.5246483252669982E-3</v>
      </c>
      <c r="G11" s="7">
        <v>0.55242888231745602</v>
      </c>
      <c r="I11" s="16">
        <v>0</v>
      </c>
      <c r="J11" s="7">
        <v>3.6598128491763401E-3</v>
      </c>
      <c r="K11" s="7">
        <v>6.0392682379152799E-3</v>
      </c>
      <c r="L11" s="7">
        <v>3.9647617982254803E-3</v>
      </c>
      <c r="M11" s="7">
        <v>3.9452728520661898E-3</v>
      </c>
      <c r="N11" s="7">
        <v>7.8525171554414096E-3</v>
      </c>
    </row>
    <row r="12" spans="1:21" x14ac:dyDescent="0.25">
      <c r="A12" s="16">
        <v>0.5</v>
      </c>
      <c r="B12" s="7">
        <v>0.724454828535535</v>
      </c>
      <c r="C12" s="7">
        <v>0.85035087719298197</v>
      </c>
      <c r="D12" s="7">
        <v>0.78234118122740604</v>
      </c>
      <c r="E12" s="7">
        <v>0.77811664907407097</v>
      </c>
      <c r="F12" s="7">
        <f t="shared" ref="F12:F13" si="0">E12-$Q$6</f>
        <v>1.5407321692589848E-3</v>
      </c>
      <c r="G12" s="7">
        <v>0.55918510422869205</v>
      </c>
      <c r="I12" s="16">
        <v>0.5</v>
      </c>
      <c r="J12" s="7">
        <v>8.6293253318535205E-3</v>
      </c>
      <c r="K12" s="7">
        <v>1.07017543859649E-2</v>
      </c>
      <c r="L12" s="7">
        <v>8.27661678061406E-3</v>
      </c>
      <c r="M12" s="7">
        <v>8.5592441537415999E-3</v>
      </c>
      <c r="N12" s="7">
        <v>1.6930568497639301E-2</v>
      </c>
    </row>
    <row r="13" spans="1:21" x14ac:dyDescent="0.25">
      <c r="A13" s="16">
        <v>1</v>
      </c>
      <c r="B13" s="7">
        <v>0.72670720301903502</v>
      </c>
      <c r="C13" s="7">
        <v>0.83543859649122798</v>
      </c>
      <c r="D13" s="7">
        <v>0.77726358537395801</v>
      </c>
      <c r="E13" s="7">
        <v>0.77555425295750502</v>
      </c>
      <c r="F13" s="7">
        <f t="shared" si="0"/>
        <v>-1.0216639473069611E-3</v>
      </c>
      <c r="G13" s="7">
        <v>0.55332109327637202</v>
      </c>
      <c r="I13" s="16">
        <v>1</v>
      </c>
      <c r="J13" s="7">
        <v>6.0861439214959998E-3</v>
      </c>
      <c r="K13" s="7">
        <v>1.03731547362066E-2</v>
      </c>
      <c r="L13" s="7">
        <v>6.7988854894443897E-3</v>
      </c>
      <c r="M13" s="7">
        <v>6.4846177674893002E-3</v>
      </c>
      <c r="N13" s="7">
        <v>1.2979957128324201E-2</v>
      </c>
    </row>
    <row r="14" spans="1:21" x14ac:dyDescent="0.25">
      <c r="G14" s="8"/>
      <c r="J14" s="4"/>
      <c r="K14" s="4"/>
      <c r="L14" s="4"/>
      <c r="M14" s="4"/>
      <c r="N14" s="4"/>
    </row>
    <row r="15" spans="1:21" x14ac:dyDescent="0.25">
      <c r="G15" s="8"/>
      <c r="N15" s="8"/>
    </row>
    <row r="16" spans="1:21" x14ac:dyDescent="0.25">
      <c r="A16" s="21" t="s">
        <v>8</v>
      </c>
      <c r="B16" s="22"/>
      <c r="C16" s="22"/>
      <c r="D16" s="22"/>
      <c r="E16" s="22"/>
      <c r="F16" s="22"/>
      <c r="G16" s="23"/>
      <c r="I16" s="29" t="s">
        <v>11</v>
      </c>
      <c r="J16" s="29"/>
      <c r="K16" s="29"/>
      <c r="L16" s="29"/>
      <c r="M16" s="29"/>
      <c r="N16" s="29"/>
    </row>
    <row r="17" spans="1:14" x14ac:dyDescent="0.25">
      <c r="A17" s="2" t="s">
        <v>0</v>
      </c>
      <c r="B17" s="6" t="s">
        <v>1</v>
      </c>
      <c r="C17" s="6" t="s">
        <v>2</v>
      </c>
      <c r="D17" s="6" t="s">
        <v>3</v>
      </c>
      <c r="E17" s="6" t="s">
        <v>4</v>
      </c>
      <c r="F17" s="6" t="s">
        <v>14</v>
      </c>
      <c r="G17" s="6" t="s">
        <v>5</v>
      </c>
      <c r="I17" s="2" t="s">
        <v>0</v>
      </c>
      <c r="J17" s="6" t="s">
        <v>1</v>
      </c>
      <c r="K17" s="6" t="s">
        <v>2</v>
      </c>
      <c r="L17" s="6" t="s">
        <v>3</v>
      </c>
      <c r="M17" s="6" t="s">
        <v>4</v>
      </c>
      <c r="N17" s="6" t="s">
        <v>5</v>
      </c>
    </row>
    <row r="18" spans="1:14" x14ac:dyDescent="0.25">
      <c r="A18" s="16">
        <v>0</v>
      </c>
      <c r="B18" s="7">
        <v>0.913409718540237</v>
      </c>
      <c r="C18" s="7">
        <v>0.78909774436090196</v>
      </c>
      <c r="D18" s="7">
        <v>0.84670617757195399</v>
      </c>
      <c r="E18" s="7">
        <v>0.80267028107066396</v>
      </c>
      <c r="F18" s="7">
        <f>E18-$Q$7</f>
        <v>2.1441941160906919E-2</v>
      </c>
      <c r="G18" s="7">
        <v>0.60863315572362298</v>
      </c>
      <c r="I18" s="16">
        <v>0</v>
      </c>
      <c r="J18" s="7">
        <v>2.6542969022385799E-3</v>
      </c>
      <c r="K18" s="7">
        <v>4.7898533467710296E-3</v>
      </c>
      <c r="L18" s="7">
        <v>3.04257830547882E-3</v>
      </c>
      <c r="M18" s="7">
        <v>3.3639788023401098E-3</v>
      </c>
      <c r="N18" s="7">
        <v>6.5463403956715401E-3</v>
      </c>
    </row>
    <row r="19" spans="1:14" x14ac:dyDescent="0.25">
      <c r="A19" s="16">
        <v>0.5</v>
      </c>
      <c r="B19" s="7">
        <v>0.91182264880127795</v>
      </c>
      <c r="C19" s="7">
        <v>0.76453634085212996</v>
      </c>
      <c r="D19" s="7">
        <v>0.83167800119479796</v>
      </c>
      <c r="E19" s="7">
        <v>0.78791842037030702</v>
      </c>
      <c r="F19" s="7">
        <f t="shared" ref="F19:F20" si="1">E19-$Q$7</f>
        <v>6.6900804605499742E-3</v>
      </c>
      <c r="G19" s="7">
        <v>0.58078964796676702</v>
      </c>
      <c r="I19" s="16">
        <v>0.5</v>
      </c>
      <c r="J19" s="7">
        <v>2.8120418560879002E-3</v>
      </c>
      <c r="K19" s="7">
        <v>9.6328346070063305E-3</v>
      </c>
      <c r="L19" s="7">
        <v>6.0731585006510297E-3</v>
      </c>
      <c r="M19" s="7">
        <v>6.0614447631849398E-3</v>
      </c>
      <c r="N19" s="7">
        <v>1.147090341247E-2</v>
      </c>
    </row>
    <row r="20" spans="1:14" x14ac:dyDescent="0.25">
      <c r="A20" s="16">
        <v>1</v>
      </c>
      <c r="B20" s="7">
        <v>0.91243209757064603</v>
      </c>
      <c r="C20" s="7">
        <v>0.74924812030075105</v>
      </c>
      <c r="D20" s="7">
        <v>0.82280093560758305</v>
      </c>
      <c r="E20" s="7">
        <v>0.77985326663184595</v>
      </c>
      <c r="F20" s="7">
        <f t="shared" si="1"/>
        <v>-1.3750732779110875E-3</v>
      </c>
      <c r="G20" s="7">
        <v>0.56594201035421798</v>
      </c>
      <c r="I20" s="16">
        <v>1</v>
      </c>
      <c r="J20" s="7">
        <v>4.4385669546764001E-3</v>
      </c>
      <c r="K20" s="7">
        <v>7.4019746494347598E-3</v>
      </c>
      <c r="L20" s="7">
        <v>4.6689934132352496E-3</v>
      </c>
      <c r="M20" s="7">
        <v>4.8314818804129798E-3</v>
      </c>
      <c r="N20" s="7">
        <v>9.2523659633384804E-3</v>
      </c>
    </row>
    <row r="22" spans="1:14" x14ac:dyDescent="0.25">
      <c r="A22" s="19" t="s">
        <v>12</v>
      </c>
      <c r="B22" s="19"/>
      <c r="C22" s="19"/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9"/>
    </row>
    <row r="23" spans="1:14" x14ac:dyDescent="0.25">
      <c r="A23" s="19"/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</row>
    <row r="24" spans="1:14" x14ac:dyDescent="0.25">
      <c r="A24" s="21" t="s">
        <v>6</v>
      </c>
      <c r="B24" s="22"/>
      <c r="C24" s="22"/>
      <c r="D24" s="22"/>
      <c r="E24" s="22"/>
      <c r="F24" s="22"/>
      <c r="G24" s="23"/>
      <c r="H24" s="1"/>
      <c r="I24" s="18" t="s">
        <v>9</v>
      </c>
      <c r="J24" s="18"/>
      <c r="K24" s="18"/>
      <c r="L24" s="18"/>
      <c r="M24" s="18"/>
      <c r="N24" s="18"/>
    </row>
    <row r="25" spans="1:14" x14ac:dyDescent="0.25">
      <c r="A25" s="2" t="s">
        <v>0</v>
      </c>
      <c r="B25" s="6" t="s">
        <v>1</v>
      </c>
      <c r="C25" s="6" t="s">
        <v>2</v>
      </c>
      <c r="D25" s="6" t="s">
        <v>3</v>
      </c>
      <c r="E25" s="6" t="s">
        <v>4</v>
      </c>
      <c r="F25" s="6" t="s">
        <v>14</v>
      </c>
      <c r="G25" s="6" t="s">
        <v>5</v>
      </c>
      <c r="H25" s="1"/>
      <c r="I25" s="2" t="s">
        <v>0</v>
      </c>
      <c r="J25" s="6" t="s">
        <v>1</v>
      </c>
      <c r="K25" s="6" t="s">
        <v>2</v>
      </c>
      <c r="L25" s="6" t="s">
        <v>3</v>
      </c>
      <c r="M25" s="6" t="s">
        <v>4</v>
      </c>
      <c r="N25" s="6" t="s">
        <v>5</v>
      </c>
    </row>
    <row r="26" spans="1:14" x14ac:dyDescent="0.25">
      <c r="A26" s="16">
        <v>0</v>
      </c>
      <c r="B26" s="7">
        <v>0.90079784918781403</v>
      </c>
      <c r="C26" s="7">
        <v>0.85302197802197699</v>
      </c>
      <c r="D26" s="7">
        <v>0.87624973584661003</v>
      </c>
      <c r="E26" s="7">
        <v>0.85168636941259801</v>
      </c>
      <c r="F26" s="7">
        <f>E26-$R$5</f>
        <v>1.5724127285519973E-2</v>
      </c>
      <c r="G26" s="7">
        <v>0.70368404512316896</v>
      </c>
      <c r="H26" s="1"/>
      <c r="I26" s="16">
        <v>0</v>
      </c>
      <c r="J26" s="7">
        <v>2.9136181726262299E-3</v>
      </c>
      <c r="K26" s="7">
        <v>3.9334673250758997E-3</v>
      </c>
      <c r="L26" s="7">
        <v>2.0200156267348801E-3</v>
      </c>
      <c r="M26" s="7">
        <v>2.24649152789945E-3</v>
      </c>
      <c r="N26" s="7">
        <v>4.4760786228040302E-3</v>
      </c>
    </row>
    <row r="27" spans="1:14" x14ac:dyDescent="0.25">
      <c r="A27" s="16">
        <v>0.5</v>
      </c>
      <c r="B27" s="7">
        <v>0.90452780922405995</v>
      </c>
      <c r="C27" s="7">
        <v>0.83131868131868103</v>
      </c>
      <c r="D27" s="7">
        <v>0.86634686155859597</v>
      </c>
      <c r="E27" s="7">
        <v>0.84297889063682097</v>
      </c>
      <c r="F27" s="7">
        <f t="shared" ref="F27:F28" si="2">E27-$R$5</f>
        <v>7.0166485097429288E-3</v>
      </c>
      <c r="G27" s="7">
        <v>0.68672719365495505</v>
      </c>
      <c r="H27" s="1"/>
      <c r="I27" s="16">
        <v>0.5</v>
      </c>
      <c r="J27" s="7">
        <v>6.5122422347781801E-3</v>
      </c>
      <c r="K27" s="7">
        <v>9.7479093402253695E-3</v>
      </c>
      <c r="L27" s="7">
        <v>6.6599573790513504E-3</v>
      </c>
      <c r="M27" s="7">
        <v>7.2637750227528301E-3</v>
      </c>
      <c r="N27" s="7">
        <v>1.44101747321142E-2</v>
      </c>
    </row>
    <row r="28" spans="1:14" x14ac:dyDescent="0.25">
      <c r="A28" s="16">
        <v>1</v>
      </c>
      <c r="B28" s="7">
        <v>0.90448335311697203</v>
      </c>
      <c r="C28" s="7">
        <v>0.81414835164835098</v>
      </c>
      <c r="D28" s="7">
        <v>0.85691405597203496</v>
      </c>
      <c r="E28" s="7">
        <v>0.83411282542487297</v>
      </c>
      <c r="F28" s="7">
        <f t="shared" si="2"/>
        <v>-1.8494167022050645E-3</v>
      </c>
      <c r="G28" s="7">
        <v>0.66944772824958798</v>
      </c>
      <c r="H28" s="1"/>
      <c r="I28" s="16">
        <v>1</v>
      </c>
      <c r="J28" s="7">
        <v>4.9133078389275798E-3</v>
      </c>
      <c r="K28" s="7">
        <v>9.3578139177203697E-3</v>
      </c>
      <c r="L28" s="7">
        <v>6.1590328433094796E-3</v>
      </c>
      <c r="M28" s="7">
        <v>6.3865113196029701E-3</v>
      </c>
      <c r="N28" s="7">
        <v>1.2577494328024E-2</v>
      </c>
    </row>
    <row r="29" spans="1:14" x14ac:dyDescent="0.25">
      <c r="G29" s="8"/>
      <c r="H29" s="1"/>
      <c r="N29" s="8"/>
    </row>
    <row r="30" spans="1:14" x14ac:dyDescent="0.25">
      <c r="G30" s="8"/>
      <c r="H30" s="1"/>
      <c r="N30" s="8"/>
    </row>
    <row r="31" spans="1:14" x14ac:dyDescent="0.25">
      <c r="A31" s="24" t="s">
        <v>7</v>
      </c>
      <c r="B31" s="25"/>
      <c r="C31" s="25"/>
      <c r="D31" s="25"/>
      <c r="E31" s="25"/>
      <c r="F31" s="25"/>
      <c r="G31" s="26"/>
      <c r="H31" s="1"/>
      <c r="I31" s="18" t="s">
        <v>10</v>
      </c>
      <c r="J31" s="18"/>
      <c r="K31" s="18"/>
      <c r="L31" s="18"/>
      <c r="M31" s="18"/>
      <c r="N31" s="18"/>
    </row>
    <row r="32" spans="1:14" x14ac:dyDescent="0.25">
      <c r="A32" s="2" t="s">
        <v>0</v>
      </c>
      <c r="B32" s="6" t="s">
        <v>1</v>
      </c>
      <c r="C32" s="6" t="s">
        <v>2</v>
      </c>
      <c r="D32" s="6" t="s">
        <v>3</v>
      </c>
      <c r="E32" s="6" t="s">
        <v>4</v>
      </c>
      <c r="F32" s="6" t="s">
        <v>14</v>
      </c>
      <c r="G32" s="6" t="s">
        <v>5</v>
      </c>
      <c r="H32" s="1"/>
      <c r="I32" s="2" t="s">
        <v>0</v>
      </c>
      <c r="J32" s="6" t="s">
        <v>1</v>
      </c>
      <c r="K32" s="6" t="s">
        <v>2</v>
      </c>
      <c r="L32" s="6" t="s">
        <v>3</v>
      </c>
      <c r="M32" s="6" t="s">
        <v>4</v>
      </c>
      <c r="N32" s="6" t="s">
        <v>5</v>
      </c>
    </row>
    <row r="33" spans="1:14" x14ac:dyDescent="0.25">
      <c r="A33" s="16">
        <v>0</v>
      </c>
      <c r="B33" s="7">
        <v>0.71439661370665997</v>
      </c>
      <c r="C33" s="7">
        <v>0.86403508771929804</v>
      </c>
      <c r="D33" s="7">
        <v>0.78211444101669403</v>
      </c>
      <c r="E33" s="7">
        <v>0.77405126857954498</v>
      </c>
      <c r="F33" s="7">
        <f>E33-$R$6</f>
        <v>-2.5246483252669982E-3</v>
      </c>
      <c r="G33" s="7">
        <v>0.55242888231745602</v>
      </c>
      <c r="H33" s="1"/>
      <c r="I33" s="16">
        <v>0</v>
      </c>
      <c r="J33" s="7">
        <v>3.6598128491763401E-3</v>
      </c>
      <c r="K33" s="7">
        <v>6.0392682379152799E-3</v>
      </c>
      <c r="L33" s="7">
        <v>3.9647617982254803E-3</v>
      </c>
      <c r="M33" s="7">
        <v>3.9452728520661898E-3</v>
      </c>
      <c r="N33" s="7">
        <v>7.8525171554414096E-3</v>
      </c>
    </row>
    <row r="34" spans="1:14" x14ac:dyDescent="0.25">
      <c r="A34" s="16">
        <v>0.5</v>
      </c>
      <c r="B34" s="7">
        <v>0.724454828535535</v>
      </c>
      <c r="C34" s="7">
        <v>0.85035087719298197</v>
      </c>
      <c r="D34" s="7">
        <v>0.78234118122740604</v>
      </c>
      <c r="E34" s="7">
        <v>0.77811664907407097</v>
      </c>
      <c r="F34" s="7">
        <f t="shared" ref="F34:F35" si="3">E34-$R$6</f>
        <v>1.5407321692589848E-3</v>
      </c>
      <c r="G34" s="7">
        <v>0.55918510422869205</v>
      </c>
      <c r="H34" s="1"/>
      <c r="I34" s="16">
        <v>0.5</v>
      </c>
      <c r="J34" s="7">
        <v>8.6293253318535205E-3</v>
      </c>
      <c r="K34" s="7">
        <v>1.07017543859649E-2</v>
      </c>
      <c r="L34" s="7">
        <v>8.27661678061406E-3</v>
      </c>
      <c r="M34" s="7">
        <v>8.5592441537415999E-3</v>
      </c>
      <c r="N34" s="7">
        <v>1.6930568497639301E-2</v>
      </c>
    </row>
    <row r="35" spans="1:14" x14ac:dyDescent="0.25">
      <c r="A35" s="16">
        <v>1</v>
      </c>
      <c r="B35" s="7">
        <v>0.72670720301903502</v>
      </c>
      <c r="C35" s="7">
        <v>0.83543859649122798</v>
      </c>
      <c r="D35" s="7">
        <v>0.77726358537395801</v>
      </c>
      <c r="E35" s="7">
        <v>0.77555425295750502</v>
      </c>
      <c r="F35" s="7">
        <f t="shared" si="3"/>
        <v>-1.0216639473069611E-3</v>
      </c>
      <c r="G35" s="7">
        <v>0.55332109327637202</v>
      </c>
      <c r="H35" s="1"/>
      <c r="I35" s="16">
        <v>1</v>
      </c>
      <c r="J35" s="7">
        <v>6.0861439214959998E-3</v>
      </c>
      <c r="K35" s="7">
        <v>1.03731547362066E-2</v>
      </c>
      <c r="L35" s="7">
        <v>6.7988854894443897E-3</v>
      </c>
      <c r="M35" s="7">
        <v>6.4846177674893002E-3</v>
      </c>
      <c r="N35" s="7">
        <v>1.2979957128324201E-2</v>
      </c>
    </row>
    <row r="36" spans="1:14" x14ac:dyDescent="0.25">
      <c r="G36" s="8"/>
      <c r="H36" s="1"/>
      <c r="N36" s="8"/>
    </row>
    <row r="37" spans="1:14" x14ac:dyDescent="0.25">
      <c r="G37" s="8"/>
      <c r="H37" s="1"/>
      <c r="N37" s="8"/>
    </row>
    <row r="38" spans="1:14" x14ac:dyDescent="0.25">
      <c r="A38" s="24" t="s">
        <v>8</v>
      </c>
      <c r="B38" s="25"/>
      <c r="C38" s="25"/>
      <c r="D38" s="25"/>
      <c r="E38" s="25"/>
      <c r="F38" s="25"/>
      <c r="G38" s="26"/>
      <c r="H38" s="1"/>
      <c r="I38" s="18" t="s">
        <v>11</v>
      </c>
      <c r="J38" s="18"/>
      <c r="K38" s="18"/>
      <c r="L38" s="18"/>
      <c r="M38" s="18"/>
      <c r="N38" s="18"/>
    </row>
    <row r="39" spans="1:14" x14ac:dyDescent="0.25">
      <c r="A39" s="2" t="s">
        <v>0</v>
      </c>
      <c r="B39" s="6" t="s">
        <v>1</v>
      </c>
      <c r="C39" s="6" t="s">
        <v>2</v>
      </c>
      <c r="D39" s="6" t="s">
        <v>3</v>
      </c>
      <c r="E39" s="6" t="s">
        <v>4</v>
      </c>
      <c r="F39" s="6" t="s">
        <v>14</v>
      </c>
      <c r="G39" s="6" t="s">
        <v>5</v>
      </c>
      <c r="H39" s="1"/>
      <c r="I39" s="2" t="s">
        <v>0</v>
      </c>
      <c r="J39" s="6" t="s">
        <v>1</v>
      </c>
      <c r="K39" s="6" t="s">
        <v>2</v>
      </c>
      <c r="L39" s="6" t="s">
        <v>3</v>
      </c>
      <c r="M39" s="6" t="s">
        <v>4</v>
      </c>
      <c r="N39" s="6" t="s">
        <v>5</v>
      </c>
    </row>
    <row r="40" spans="1:14" x14ac:dyDescent="0.25">
      <c r="A40" s="16">
        <v>0</v>
      </c>
      <c r="B40" s="7">
        <v>0.913409718540237</v>
      </c>
      <c r="C40" s="7">
        <v>0.78909774436090196</v>
      </c>
      <c r="D40" s="7">
        <v>0.84670617757195399</v>
      </c>
      <c r="E40" s="7">
        <v>0.80267028107066396</v>
      </c>
      <c r="F40" s="7">
        <f>E40-$R$7</f>
        <v>2.1441941160906919E-2</v>
      </c>
      <c r="G40" s="7">
        <v>0.60863315572362298</v>
      </c>
      <c r="H40" s="1"/>
      <c r="I40" s="16">
        <v>0</v>
      </c>
      <c r="J40" s="7">
        <v>2.6542969022385799E-3</v>
      </c>
      <c r="K40" s="7">
        <v>4.7898533467710296E-3</v>
      </c>
      <c r="L40" s="7">
        <v>3.04257830547882E-3</v>
      </c>
      <c r="M40" s="7">
        <v>3.3639788023401098E-3</v>
      </c>
      <c r="N40" s="7">
        <v>6.5463403956715401E-3</v>
      </c>
    </row>
    <row r="41" spans="1:14" x14ac:dyDescent="0.25">
      <c r="A41" s="16">
        <v>0.5</v>
      </c>
      <c r="B41" s="7">
        <v>0.91182264880127795</v>
      </c>
      <c r="C41" s="7">
        <v>0.76453634085212996</v>
      </c>
      <c r="D41" s="7">
        <v>0.83167800119479796</v>
      </c>
      <c r="E41" s="7">
        <v>0.78791842037030702</v>
      </c>
      <c r="F41" s="7">
        <f t="shared" ref="F41:F42" si="4">E41-$R$7</f>
        <v>6.6900804605499742E-3</v>
      </c>
      <c r="G41" s="7">
        <v>0.58078964796676702</v>
      </c>
      <c r="H41" s="1"/>
      <c r="I41" s="16">
        <v>0.5</v>
      </c>
      <c r="J41" s="7">
        <v>2.8120418560879002E-3</v>
      </c>
      <c r="K41" s="7">
        <v>9.6328346070063305E-3</v>
      </c>
      <c r="L41" s="7">
        <v>6.0731585006510297E-3</v>
      </c>
      <c r="M41" s="7">
        <v>6.0614447631849398E-3</v>
      </c>
      <c r="N41" s="7">
        <v>1.147090341247E-2</v>
      </c>
    </row>
    <row r="42" spans="1:14" x14ac:dyDescent="0.25">
      <c r="A42" s="16">
        <v>1</v>
      </c>
      <c r="B42" s="7">
        <v>0.91243209757064603</v>
      </c>
      <c r="C42" s="7">
        <v>0.74924812030075105</v>
      </c>
      <c r="D42" s="7">
        <v>0.82280093560758305</v>
      </c>
      <c r="E42" s="7">
        <v>0.77985326663184595</v>
      </c>
      <c r="F42" s="7">
        <f t="shared" si="4"/>
        <v>-1.3750732779110875E-3</v>
      </c>
      <c r="G42" s="7">
        <v>0.56594201035421798</v>
      </c>
      <c r="H42" s="1"/>
      <c r="I42" s="16">
        <v>1</v>
      </c>
      <c r="J42" s="7">
        <v>4.4385669546764001E-3</v>
      </c>
      <c r="K42" s="7">
        <v>7.4019746494347598E-3</v>
      </c>
      <c r="L42" s="7">
        <v>4.6689934132352496E-3</v>
      </c>
      <c r="M42" s="7">
        <v>4.8314818804129798E-3</v>
      </c>
      <c r="N42" s="7">
        <v>9.2523659633384804E-3</v>
      </c>
    </row>
  </sheetData>
  <mergeCells count="15">
    <mergeCell ref="A1:N1"/>
    <mergeCell ref="P3:U3"/>
    <mergeCell ref="A38:G38"/>
    <mergeCell ref="I38:N38"/>
    <mergeCell ref="A2:G2"/>
    <mergeCell ref="A9:G9"/>
    <mergeCell ref="A16:G16"/>
    <mergeCell ref="A22:N23"/>
    <mergeCell ref="A24:G24"/>
    <mergeCell ref="I24:N24"/>
    <mergeCell ref="A31:G31"/>
    <mergeCell ref="I31:N31"/>
    <mergeCell ref="I2:N2"/>
    <mergeCell ref="I9:N9"/>
    <mergeCell ref="I16:N16"/>
  </mergeCells>
  <conditionalFormatting sqref="F1:F1048576">
    <cfRule type="cellIs" dxfId="3" priority="1" operator="lessThan">
      <formula>0</formula>
    </cfRule>
    <cfRule type="cellIs" dxfId="2" priority="2" operator="greaterThan">
      <formula>0</formula>
    </cfRule>
  </conditionalFormatting>
  <conditionalFormatting sqref="Q5">
    <cfRule type="colorScale" priority="10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Q6">
    <cfRule type="colorScale" priority="8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Q7">
    <cfRule type="colorScale" priority="6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R5">
    <cfRule type="colorScale" priority="9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R6">
    <cfRule type="colorScale" priority="7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R7">
    <cfRule type="colorScale" priority="5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gemma4-26b-q4</vt:lpstr>
      <vt:lpstr>GPT-OSS-20b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Artem</dc:creator>
  <cp:lastModifiedBy>Artjoms Kučerjavijs</cp:lastModifiedBy>
  <dcterms:created xsi:type="dcterms:W3CDTF">2015-06-05T18:17:20Z</dcterms:created>
  <dcterms:modified xsi:type="dcterms:W3CDTF">2026-04-22T10:07:58Z</dcterms:modified>
</cp:coreProperties>
</file>