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pos\Using-LLM-for-automated-feedback-generation-on-a-bachelor-thesis\src\results\llm\"/>
    </mc:Choice>
  </mc:AlternateContent>
  <xr:revisionPtr revIDLastSave="0" documentId="13_ncr:1_{E6E937E0-EA2F-4E6B-B30E-3396ADF48CF8}" xr6:coauthVersionLast="47" xr6:coauthVersionMax="47" xr10:uidLastSave="{00000000-0000-0000-0000-000000000000}"/>
  <bookViews>
    <workbookView xWindow="-28920" yWindow="15" windowWidth="29040" windowHeight="15720" activeTab="2" xr2:uid="{00000000-000D-0000-FFFF-FFFF00000000}"/>
  </bookViews>
  <sheets>
    <sheet name="OG" sheetId="1" r:id="rId1"/>
    <sheet name="Better Parsing" sheetId="2" r:id="rId2"/>
    <sheet name="Json-repai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3" l="1"/>
  <c r="O11" i="3"/>
  <c r="I34" i="3"/>
  <c r="I35" i="3"/>
  <c r="I33" i="3"/>
  <c r="H34" i="3"/>
  <c r="H35" i="3"/>
  <c r="H33" i="3"/>
  <c r="G34" i="3"/>
  <c r="G35" i="3"/>
  <c r="G28" i="3"/>
  <c r="E28" i="3"/>
  <c r="C28" i="3"/>
  <c r="G27" i="3"/>
  <c r="E27" i="3"/>
  <c r="C27" i="3"/>
  <c r="G26" i="3"/>
  <c r="E26" i="3"/>
  <c r="C26" i="3"/>
  <c r="G19" i="3"/>
  <c r="G18" i="3"/>
  <c r="M11" i="3" s="1"/>
  <c r="G17" i="3"/>
  <c r="K11" i="3" s="1"/>
  <c r="G12" i="3"/>
  <c r="O10" i="3" s="1"/>
  <c r="G11" i="3"/>
  <c r="M10" i="3" s="1"/>
  <c r="G10" i="3"/>
  <c r="K10" i="3" s="1"/>
  <c r="G5" i="3"/>
  <c r="O9" i="3" s="1"/>
  <c r="G4" i="3"/>
  <c r="M9" i="3" s="1"/>
  <c r="G3" i="3"/>
  <c r="K9" i="3" s="1"/>
  <c r="G18" i="2"/>
  <c r="G19" i="2"/>
  <c r="G17" i="2"/>
  <c r="G11" i="2"/>
  <c r="G12" i="2"/>
  <c r="G10" i="2"/>
  <c r="G28" i="2"/>
  <c r="E28" i="2"/>
  <c r="C28" i="2"/>
  <c r="G27" i="2"/>
  <c r="E27" i="2"/>
  <c r="C27" i="2"/>
  <c r="G26" i="2"/>
  <c r="E26" i="2"/>
  <c r="C26" i="2"/>
  <c r="G5" i="2"/>
  <c r="G4" i="2"/>
  <c r="G3" i="2"/>
  <c r="G27" i="1"/>
  <c r="G28" i="1"/>
  <c r="G26" i="1"/>
  <c r="E27" i="1"/>
  <c r="E28" i="1"/>
  <c r="E26" i="1"/>
  <c r="C27" i="1"/>
  <c r="C28" i="1"/>
  <c r="C26" i="1"/>
  <c r="G19" i="1"/>
  <c r="G18" i="1"/>
  <c r="G17" i="1"/>
  <c r="G12" i="1"/>
  <c r="G11" i="1"/>
  <c r="G10" i="1"/>
  <c r="G4" i="1"/>
  <c r="G5" i="1"/>
  <c r="G3" i="1"/>
</calcChain>
</file>

<file path=xl/sharedStrings.xml><?xml version="1.0" encoding="utf-8"?>
<sst xmlns="http://schemas.openxmlformats.org/spreadsheetml/2006/main" count="209" uniqueCount="35">
  <si>
    <t>human1</t>
  </si>
  <si>
    <t>human2</t>
  </si>
  <si>
    <t>human3</t>
  </si>
  <si>
    <t>Precision_positive</t>
  </si>
  <si>
    <t>Recall_positive</t>
  </si>
  <si>
    <t>F1_positive</t>
  </si>
  <si>
    <t>F1_macro</t>
  </si>
  <si>
    <t>CohenKappa</t>
  </si>
  <si>
    <t>gemma-26b-q4 OG results (zero-shot) without texts 1, 5</t>
  </si>
  <si>
    <t>gemma-26b-q4 OG results (two-shot) without texts 1, 5</t>
  </si>
  <si>
    <t>F1 macro diff</t>
  </si>
  <si>
    <t>gemma-26b-q4 OG results (zero-shot) without texts 1, 5, 7</t>
  </si>
  <si>
    <t>gemma-26b-q4 OG results (zero-shot) without texts 1, 5, 7, 43</t>
  </si>
  <si>
    <t>gemma-26b-q4 OG results (three-shot) without texts 1, 5, 7</t>
  </si>
  <si>
    <t>gemma-26b-q4 OG results (four-shot) without texts 1, 5, 7, 43</t>
  </si>
  <si>
    <t>Statistics of unparsable JSONs</t>
  </si>
  <si>
    <t>2-shot</t>
  </si>
  <si>
    <t>3-shot</t>
  </si>
  <si>
    <t>4-shot</t>
  </si>
  <si>
    <t>Total prompts</t>
  </si>
  <si>
    <t>gemma-26b-q4 OG results (two-shot) without texts 1, 5, 7, 43</t>
  </si>
  <si>
    <t>gemma-26b-q4 OG results (three-shot) without texts  1, 5, 7, 43</t>
  </si>
  <si>
    <t>gemma-26b-q4 OG results (four-shot) without texts  1, 5, 7, 43</t>
  </si>
  <si>
    <t>gemma-26b-q4 OG results (zero-shot) without texts  1, 5, 7, 43</t>
  </si>
  <si>
    <t>Statistics of TOTALLY unparsable JSONs, that were skipped</t>
  </si>
  <si>
    <t>Amount of individual skipped questions</t>
  </si>
  <si>
    <t>Amount of individual skipped invalid JSON objects</t>
  </si>
  <si>
    <t>Amount of times when had to insert default complies=False except those on top</t>
  </si>
  <si>
    <t>Total percentage of unanswered questions</t>
  </si>
  <si>
    <t>Total questions</t>
  </si>
  <si>
    <t>F1 makro diff</t>
  </si>
  <si>
    <t>gemma-26b-q4 OG results (zero-shot) without texts  1, 5, 7, 43, 57</t>
  </si>
  <si>
    <t>gemma-26b-q4 OG results (two-shot) without texts 1, 5, 7, 43, 57</t>
  </si>
  <si>
    <t>gemma-26b-q4 OG results (three-shot) without texts  1, 5, 7, 43, 57</t>
  </si>
  <si>
    <t>gemma-26b-q4 OG results (four-shot) without texts  1, 5, 7, 43,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</si>
</sst>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25">
    <xf numFmtId="0" fontId="0" fillId="0" borderId="0" xfId="0"/>
    <xf numFmtId="10" fontId="1" fillId="0" borderId="1" xfId="0" applyNumberFormat="1" applyFont="1" applyBorder="1"/>
    <xf numFmtId="0" fontId="0" fillId="0" borderId="1" xfId="0" applyBorder="1"/>
    <xf numFmtId="0" fontId="1" fillId="0" borderId="1" xfId="0" applyFont="1" applyBorder="1"/>
    <xf numFmtId="10" fontId="0" fillId="0" borderId="0" xfId="0" applyNumberFormat="1"/>
    <xf numFmtId="0" fontId="1" fillId="0" borderId="2" xfId="0" applyFont="1" applyBorder="1"/>
    <xf numFmtId="10" fontId="0" fillId="0" borderId="1" xfId="0" applyNumberFormat="1" applyBorder="1"/>
    <xf numFmtId="49" fontId="0" fillId="0" borderId="0" xfId="0" applyNumberFormat="1"/>
    <xf numFmtId="49" fontId="0" fillId="0" borderId="1" xfId="0" applyNumberFormat="1" applyBorder="1"/>
    <xf numFmtId="0" fontId="1" fillId="0" borderId="0" xfId="0" applyFont="1"/>
    <xf numFmtId="49" fontId="1" fillId="0" borderId="1" xfId="0" applyNumberFormat="1" applyFont="1" applyBorder="1"/>
    <xf numFmtId="10" fontId="1" fillId="0" borderId="2" xfId="0" applyNumberFormat="1" applyFont="1" applyBorder="1"/>
    <xf numFmtId="10" fontId="2" fillId="2" borderId="1" xfId="1" applyNumberFormat="1" applyBorder="1"/>
    <xf numFmtId="10" fontId="3" fillId="3" borderId="1" xfId="2" applyNumberForma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0" fontId="1" fillId="0" borderId="3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workbookViewId="0">
      <selection sqref="A1:N28"/>
    </sheetView>
  </sheetViews>
  <sheetFormatPr defaultRowHeight="15" x14ac:dyDescent="0.25"/>
  <cols>
    <col min="2" max="2" width="18.85546875" style="4" customWidth="1"/>
    <col min="3" max="3" width="16.85546875" style="4" customWidth="1"/>
    <col min="4" max="4" width="16.5703125" style="4" customWidth="1"/>
    <col min="5" max="5" width="12.85546875" style="4" customWidth="1"/>
    <col min="6" max="6" width="13.42578125" style="4" customWidth="1"/>
    <col min="7" max="7" width="13.28515625" customWidth="1"/>
    <col min="8" max="8" width="13.5703125" customWidth="1"/>
    <col min="10" max="10" width="18.5703125" customWidth="1"/>
    <col min="11" max="11" width="15.28515625" customWidth="1"/>
    <col min="12" max="13" width="14" customWidth="1"/>
    <col min="14" max="14" width="15.28515625" customWidth="1"/>
    <col min="15" max="15" width="19.85546875" customWidth="1"/>
    <col min="16" max="16" width="17.28515625" customWidth="1"/>
    <col min="17" max="17" width="13.28515625" customWidth="1"/>
    <col min="18" max="18" width="13" customWidth="1"/>
    <col min="19" max="19" width="14.140625" customWidth="1"/>
  </cols>
  <sheetData>
    <row r="1" spans="1:14" x14ac:dyDescent="0.25">
      <c r="A1" s="14" t="s">
        <v>9</v>
      </c>
      <c r="B1" s="15"/>
      <c r="C1" s="15"/>
      <c r="D1" s="15"/>
      <c r="E1" s="15"/>
      <c r="F1" s="15"/>
      <c r="G1" s="16"/>
      <c r="I1" s="14" t="s">
        <v>8</v>
      </c>
      <c r="J1" s="15"/>
      <c r="K1" s="15"/>
      <c r="L1" s="15"/>
      <c r="M1" s="15"/>
      <c r="N1" s="16"/>
    </row>
    <row r="2" spans="1:14" x14ac:dyDescent="0.25">
      <c r="A2" s="2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10</v>
      </c>
      <c r="I2" s="2"/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4" x14ac:dyDescent="0.25">
      <c r="A3" s="5" t="s">
        <v>0</v>
      </c>
      <c r="B3" s="6">
        <v>0.86490066225165496</v>
      </c>
      <c r="C3" s="6">
        <v>0.93419170243204497</v>
      </c>
      <c r="D3" s="6">
        <v>0.89821182943603795</v>
      </c>
      <c r="E3" s="6">
        <v>0.86706600340981499</v>
      </c>
      <c r="F3" s="6">
        <v>0.73476621807881004</v>
      </c>
      <c r="G3" s="6">
        <f>E3-M3</f>
        <v>-3.4834471396349986E-3</v>
      </c>
      <c r="I3" s="3" t="s">
        <v>0</v>
      </c>
      <c r="J3" s="6">
        <v>0.86657859973579898</v>
      </c>
      <c r="K3" s="6">
        <v>0.93848354792560795</v>
      </c>
      <c r="L3" s="6">
        <v>0.90109890109890101</v>
      </c>
      <c r="M3" s="6">
        <v>0.87054945054944999</v>
      </c>
      <c r="N3" s="6">
        <v>0.74176183850371902</v>
      </c>
    </row>
    <row r="4" spans="1:14" x14ac:dyDescent="0.25">
      <c r="A4" s="3" t="s">
        <v>1</v>
      </c>
      <c r="B4" s="6">
        <v>0.673024523160762</v>
      </c>
      <c r="C4" s="6">
        <v>0.90642201834862302</v>
      </c>
      <c r="D4" s="6">
        <v>0.77247849882720798</v>
      </c>
      <c r="E4" s="6">
        <v>0.751141756377392</v>
      </c>
      <c r="F4" s="6">
        <v>0.51486409605407202</v>
      </c>
      <c r="G4" s="6">
        <f>E4-M4</f>
        <v>-3.3535901483150443E-3</v>
      </c>
      <c r="I4" s="3" t="s">
        <v>1</v>
      </c>
      <c r="J4" s="6">
        <v>0.67107001321003901</v>
      </c>
      <c r="K4" s="6">
        <v>0.93211009174311898</v>
      </c>
      <c r="L4" s="6">
        <v>0.78033794162826398</v>
      </c>
      <c r="M4" s="6">
        <v>0.75449534652570704</v>
      </c>
      <c r="N4" s="6">
        <v>0.52456161642389598</v>
      </c>
    </row>
    <row r="5" spans="1:14" x14ac:dyDescent="0.25">
      <c r="A5" s="3" t="s">
        <v>2</v>
      </c>
      <c r="B5" s="6">
        <v>0.88630490956072305</v>
      </c>
      <c r="C5" s="6">
        <v>0.89556135770234901</v>
      </c>
      <c r="D5" s="6">
        <v>0.89090909090908998</v>
      </c>
      <c r="E5" s="6">
        <v>0.84251336898395701</v>
      </c>
      <c r="F5" s="6">
        <v>0.68504277856997298</v>
      </c>
      <c r="G5" s="6">
        <f>E5-M5</f>
        <v>8.7219403967639941E-3</v>
      </c>
      <c r="I5" s="3" t="s">
        <v>2</v>
      </c>
      <c r="J5" s="6">
        <v>0.88771466314398895</v>
      </c>
      <c r="K5" s="6">
        <v>0.87728459530026104</v>
      </c>
      <c r="L5" s="6">
        <v>0.88246881155613899</v>
      </c>
      <c r="M5" s="6">
        <v>0.83379142858719302</v>
      </c>
      <c r="N5" s="6">
        <v>0.66760407963806601</v>
      </c>
    </row>
    <row r="8" spans="1:14" x14ac:dyDescent="0.25">
      <c r="A8" s="14" t="s">
        <v>13</v>
      </c>
      <c r="B8" s="15"/>
      <c r="C8" s="15"/>
      <c r="D8" s="15"/>
      <c r="E8" s="15"/>
      <c r="F8" s="15"/>
      <c r="G8" s="16"/>
      <c r="I8" s="14" t="s">
        <v>11</v>
      </c>
      <c r="J8" s="15"/>
      <c r="K8" s="15"/>
      <c r="L8" s="15"/>
      <c r="M8" s="15"/>
      <c r="N8" s="16"/>
    </row>
    <row r="9" spans="1:14" x14ac:dyDescent="0.25">
      <c r="A9" s="2"/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10</v>
      </c>
      <c r="I9" s="2"/>
      <c r="J9" s="1" t="s">
        <v>3</v>
      </c>
      <c r="K9" s="1" t="s">
        <v>4</v>
      </c>
      <c r="L9" s="1" t="s">
        <v>5</v>
      </c>
      <c r="M9" s="1" t="s">
        <v>6</v>
      </c>
      <c r="N9" s="1" t="s">
        <v>7</v>
      </c>
    </row>
    <row r="10" spans="1:14" x14ac:dyDescent="0.25">
      <c r="A10" s="5" t="s">
        <v>0</v>
      </c>
      <c r="B10" s="6">
        <v>0.87091988130563802</v>
      </c>
      <c r="C10" s="6">
        <v>0.85319767441860395</v>
      </c>
      <c r="D10" s="6">
        <v>0.86196769456681299</v>
      </c>
      <c r="E10" s="6">
        <v>0.83265748745076995</v>
      </c>
      <c r="F10" s="6">
        <v>0.66536534722499496</v>
      </c>
      <c r="G10" s="6">
        <f>E10-M10</f>
        <v>-3.5685343727404062E-2</v>
      </c>
      <c r="I10" s="3" t="s">
        <v>0</v>
      </c>
      <c r="J10" s="6">
        <v>0.86461126005361899</v>
      </c>
      <c r="K10" s="6">
        <v>0.9375</v>
      </c>
      <c r="L10" s="6">
        <v>0.89958158995815896</v>
      </c>
      <c r="M10" s="6">
        <v>0.86834283117817401</v>
      </c>
      <c r="N10" s="6">
        <v>0.73738257462510404</v>
      </c>
    </row>
    <row r="11" spans="1:14" x14ac:dyDescent="0.25">
      <c r="A11" s="3" t="s">
        <v>1</v>
      </c>
      <c r="B11" s="6">
        <v>0.66952789699570803</v>
      </c>
      <c r="C11" s="6">
        <v>0.86827458256029599</v>
      </c>
      <c r="D11" s="6">
        <v>0.75605815831987</v>
      </c>
      <c r="E11" s="6">
        <v>0.73821426434512005</v>
      </c>
      <c r="F11" s="6">
        <v>0.48626489755181102</v>
      </c>
      <c r="G11" s="6">
        <f>E11-M11</f>
        <v>-1.6435597603568941E-2</v>
      </c>
      <c r="I11" s="3" t="s">
        <v>1</v>
      </c>
      <c r="J11" s="6">
        <v>0.67292225201072298</v>
      </c>
      <c r="K11" s="6">
        <v>0.93135435992578797</v>
      </c>
      <c r="L11" s="6">
        <v>0.78132295719844302</v>
      </c>
      <c r="M11" s="6">
        <v>0.75464986194868899</v>
      </c>
      <c r="N11" s="6">
        <v>0.52464433601361504</v>
      </c>
    </row>
    <row r="12" spans="1:14" x14ac:dyDescent="0.25">
      <c r="A12" s="3" t="s">
        <v>2</v>
      </c>
      <c r="B12" s="6">
        <v>0.88326300984528805</v>
      </c>
      <c r="C12" s="6">
        <v>0.83289124668435</v>
      </c>
      <c r="D12" s="6">
        <v>0.85733788395904398</v>
      </c>
      <c r="E12" s="6">
        <v>0.80616014948245296</v>
      </c>
      <c r="F12" s="6">
        <v>0.61289307020249395</v>
      </c>
      <c r="G12" s="6">
        <f>E12-M12</f>
        <v>-2.5704561193993003E-2</v>
      </c>
      <c r="I12" s="3" t="s">
        <v>2</v>
      </c>
      <c r="J12" s="6">
        <v>0.886058981233244</v>
      </c>
      <c r="K12" s="6">
        <v>0.87665782493368705</v>
      </c>
      <c r="L12" s="6">
        <v>0.88133333333333297</v>
      </c>
      <c r="M12" s="6">
        <v>0.83186471067644596</v>
      </c>
      <c r="N12" s="6">
        <v>0.66374696022375301</v>
      </c>
    </row>
    <row r="15" spans="1:14" x14ac:dyDescent="0.25">
      <c r="A15" s="14" t="s">
        <v>14</v>
      </c>
      <c r="B15" s="15"/>
      <c r="C15" s="15"/>
      <c r="D15" s="15"/>
      <c r="E15" s="15"/>
      <c r="F15" s="15"/>
      <c r="G15" s="16"/>
      <c r="I15" s="14" t="s">
        <v>12</v>
      </c>
      <c r="J15" s="15"/>
      <c r="K15" s="15"/>
      <c r="L15" s="15"/>
      <c r="M15" s="15"/>
      <c r="N15" s="16"/>
    </row>
    <row r="16" spans="1:14" x14ac:dyDescent="0.25">
      <c r="A16" s="2"/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10</v>
      </c>
      <c r="I16" s="2"/>
      <c r="J16" s="1" t="s">
        <v>3</v>
      </c>
      <c r="K16" s="1" t="s">
        <v>4</v>
      </c>
      <c r="L16" s="1" t="s">
        <v>5</v>
      </c>
      <c r="M16" s="1" t="s">
        <v>6</v>
      </c>
      <c r="N16" s="1" t="s">
        <v>7</v>
      </c>
    </row>
    <row r="17" spans="1:14" x14ac:dyDescent="0.25">
      <c r="A17" s="5" t="s">
        <v>0</v>
      </c>
      <c r="B17" s="6">
        <v>0.86411149825783895</v>
      </c>
      <c r="C17" s="6">
        <v>0.73809523809523803</v>
      </c>
      <c r="D17" s="6">
        <v>0.79614767255216601</v>
      </c>
      <c r="E17" s="6">
        <v>0.77524985174997096</v>
      </c>
      <c r="F17" s="6">
        <v>0.55382567212750999</v>
      </c>
      <c r="G17" s="6">
        <f>E17-M17</f>
        <v>-9.1390385594012025E-2</v>
      </c>
      <c r="I17" s="3" t="s">
        <v>0</v>
      </c>
      <c r="J17" s="6">
        <v>0.86164383561643798</v>
      </c>
      <c r="K17" s="6">
        <v>0.93601190476190399</v>
      </c>
      <c r="L17" s="6">
        <v>0.897289586305278</v>
      </c>
      <c r="M17" s="6">
        <v>0.86664023734398299</v>
      </c>
      <c r="N17" s="6">
        <v>0.73400738868364701</v>
      </c>
    </row>
    <row r="18" spans="1:14" x14ac:dyDescent="0.25">
      <c r="A18" s="3" t="s">
        <v>1</v>
      </c>
      <c r="B18" s="6">
        <v>0.64973730297723298</v>
      </c>
      <c r="C18" s="6">
        <v>0.706666666666666</v>
      </c>
      <c r="D18" s="6">
        <v>0.67700729927007297</v>
      </c>
      <c r="E18" s="6">
        <v>0.68901040639179301</v>
      </c>
      <c r="F18" s="6">
        <v>0.37903337487882499</v>
      </c>
      <c r="G18" s="6">
        <f>E18-M18</f>
        <v>-6.373665414654095E-2</v>
      </c>
      <c r="I18" s="3" t="s">
        <v>1</v>
      </c>
      <c r="J18" s="6">
        <v>0.66849315068493098</v>
      </c>
      <c r="K18" s="6">
        <v>0.92952380952380897</v>
      </c>
      <c r="L18" s="6">
        <v>0.777689243027888</v>
      </c>
      <c r="M18" s="6">
        <v>0.75274706053833396</v>
      </c>
      <c r="N18" s="6">
        <v>0.52113821138211303</v>
      </c>
    </row>
    <row r="19" spans="1:14" x14ac:dyDescent="0.25">
      <c r="A19" s="3" t="s">
        <v>2</v>
      </c>
      <c r="B19" s="6">
        <v>0.85762144053601297</v>
      </c>
      <c r="C19" s="6">
        <v>0.69376693766937603</v>
      </c>
      <c r="D19" s="6">
        <v>0.76704119850187202</v>
      </c>
      <c r="E19" s="6">
        <v>0.71897033470067095</v>
      </c>
      <c r="F19" s="6">
        <v>0.44666067348391197</v>
      </c>
      <c r="G19" s="6">
        <f>E19-M19</f>
        <v>-0.1107970509720041</v>
      </c>
      <c r="I19" s="3" t="s">
        <v>2</v>
      </c>
      <c r="J19" s="6">
        <v>0.88356164383561597</v>
      </c>
      <c r="K19" s="6">
        <v>0.87398373983739797</v>
      </c>
      <c r="L19" s="6">
        <v>0.87874659400544897</v>
      </c>
      <c r="M19" s="6">
        <v>0.82976738567267505</v>
      </c>
      <c r="N19" s="6">
        <v>0.65955305013086296</v>
      </c>
    </row>
    <row r="24" spans="1:14" x14ac:dyDescent="0.25">
      <c r="B24" s="24" t="s">
        <v>15</v>
      </c>
      <c r="C24" s="24"/>
      <c r="D24" s="24"/>
      <c r="E24" s="24"/>
      <c r="F24" s="24"/>
      <c r="G24" s="24"/>
      <c r="H24" s="24"/>
      <c r="I24" s="24"/>
    </row>
    <row r="25" spans="1:14" x14ac:dyDescent="0.25">
      <c r="A25" s="2"/>
      <c r="B25" s="20" t="s">
        <v>16</v>
      </c>
      <c r="C25" s="20"/>
      <c r="D25" s="20" t="s">
        <v>17</v>
      </c>
      <c r="E25" s="20"/>
      <c r="F25" s="20" t="s">
        <v>18</v>
      </c>
      <c r="G25" s="20"/>
      <c r="I25" s="20" t="s">
        <v>19</v>
      </c>
      <c r="J25" s="20"/>
    </row>
    <row r="26" spans="1:14" x14ac:dyDescent="0.25">
      <c r="A26" s="8" t="s">
        <v>0</v>
      </c>
      <c r="B26" s="2">
        <v>5</v>
      </c>
      <c r="C26" s="6">
        <f>B26/$J$26</f>
        <v>2.403846153846154E-2</v>
      </c>
      <c r="D26" s="2">
        <v>17</v>
      </c>
      <c r="E26" s="6">
        <f>D26/$J$27</f>
        <v>8.3333333333333329E-2</v>
      </c>
      <c r="F26" s="2">
        <v>31</v>
      </c>
      <c r="G26" s="6">
        <f>F26/$J$28</f>
        <v>0.155</v>
      </c>
      <c r="I26" s="2" t="s">
        <v>16</v>
      </c>
      <c r="J26" s="2">
        <v>208</v>
      </c>
    </row>
    <row r="27" spans="1:14" x14ac:dyDescent="0.25">
      <c r="A27" s="8" t="s">
        <v>1</v>
      </c>
      <c r="B27" s="2">
        <v>9</v>
      </c>
      <c r="C27" s="6">
        <f>B27/$J$26</f>
        <v>4.3269230769230768E-2</v>
      </c>
      <c r="D27" s="2">
        <v>10</v>
      </c>
      <c r="E27" s="6">
        <f>D27/$J$27</f>
        <v>4.9019607843137254E-2</v>
      </c>
      <c r="F27" s="2">
        <v>28</v>
      </c>
      <c r="G27" s="6">
        <f>F27/$J$28</f>
        <v>0.14000000000000001</v>
      </c>
      <c r="I27" s="2" t="s">
        <v>17</v>
      </c>
      <c r="J27" s="2">
        <v>204</v>
      </c>
    </row>
    <row r="28" spans="1:14" x14ac:dyDescent="0.25">
      <c r="A28" s="8" t="s">
        <v>2</v>
      </c>
      <c r="B28" s="2">
        <v>2</v>
      </c>
      <c r="C28" s="6">
        <f>B28/$J$26</f>
        <v>9.6153846153846159E-3</v>
      </c>
      <c r="D28" s="2">
        <v>12</v>
      </c>
      <c r="E28" s="6">
        <f>D28/$J$27</f>
        <v>5.8823529411764705E-2</v>
      </c>
      <c r="F28" s="2">
        <v>26</v>
      </c>
      <c r="G28" s="6">
        <f>F28/$J$28</f>
        <v>0.13</v>
      </c>
      <c r="I28" s="2" t="s">
        <v>18</v>
      </c>
      <c r="J28" s="2">
        <v>200</v>
      </c>
    </row>
    <row r="29" spans="1:14" x14ac:dyDescent="0.25">
      <c r="B29" s="7"/>
      <c r="C29" s="7"/>
      <c r="D29" s="7"/>
      <c r="E29" s="7"/>
      <c r="F29" s="7"/>
      <c r="G29" s="7"/>
    </row>
    <row r="30" spans="1:14" x14ac:dyDescent="0.25">
      <c r="B30" s="7"/>
      <c r="C30" s="7"/>
      <c r="D30" s="7"/>
      <c r="E30" s="7"/>
      <c r="F30" s="7"/>
      <c r="G30" s="7"/>
    </row>
    <row r="31" spans="1:14" x14ac:dyDescent="0.25">
      <c r="B31" s="7"/>
      <c r="C31" s="7"/>
      <c r="D31" s="7"/>
      <c r="E31" s="7"/>
      <c r="F31" s="7"/>
      <c r="G31" s="7"/>
    </row>
    <row r="32" spans="1:14" x14ac:dyDescent="0.25">
      <c r="B32" s="7"/>
      <c r="C32" s="7"/>
      <c r="D32" s="7"/>
      <c r="E32" s="7"/>
      <c r="F32" s="7"/>
      <c r="G32" s="7"/>
    </row>
    <row r="33" spans="2:7" x14ac:dyDescent="0.25">
      <c r="B33" s="7"/>
      <c r="C33" s="7"/>
      <c r="D33" s="7"/>
      <c r="E33" s="7"/>
      <c r="F33" s="7"/>
      <c r="G33" s="7"/>
    </row>
    <row r="34" spans="2:7" x14ac:dyDescent="0.25">
      <c r="B34" s="7"/>
      <c r="C34" s="7"/>
      <c r="D34" s="7"/>
      <c r="E34" s="7"/>
      <c r="F34" s="7"/>
      <c r="G34" s="7"/>
    </row>
    <row r="35" spans="2:7" x14ac:dyDescent="0.25">
      <c r="B35" s="7"/>
      <c r="C35" s="7"/>
      <c r="D35" s="7"/>
      <c r="E35" s="7"/>
      <c r="F35" s="7"/>
      <c r="G35" s="7"/>
    </row>
  </sheetData>
  <mergeCells count="11">
    <mergeCell ref="A1:G1"/>
    <mergeCell ref="A8:G8"/>
    <mergeCell ref="I1:N1"/>
    <mergeCell ref="I8:N8"/>
    <mergeCell ref="B25:C25"/>
    <mergeCell ref="D25:E25"/>
    <mergeCell ref="F25:G25"/>
    <mergeCell ref="I25:J25"/>
    <mergeCell ref="I15:N15"/>
    <mergeCell ref="A15:G15"/>
    <mergeCell ref="B24:I24"/>
  </mergeCells>
  <conditionalFormatting sqref="B2:G2">
    <cfRule type="colorScale" priority="7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9:G9">
    <cfRule type="colorScale" priority="2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16:G16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G1:G23 G29:G1048576">
    <cfRule type="cellIs" dxfId="13" priority="5" operator="lessThan">
      <formula>0</formula>
    </cfRule>
    <cfRule type="cellIs" dxfId="12" priority="6" operator="greaterThan">
      <formula>0</formula>
    </cfRule>
  </conditionalFormatting>
  <conditionalFormatting sqref="J2:N2">
    <cfRule type="colorScale" priority="8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J9:N9">
    <cfRule type="colorScale" priority="4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J16:N16">
    <cfRule type="colorScale" priority="3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AADD-8776-4402-85B4-2B481E8BF56B}">
  <dimension ref="A1:N34"/>
  <sheetViews>
    <sheetView workbookViewId="0">
      <selection sqref="A1:N34"/>
    </sheetView>
  </sheetViews>
  <sheetFormatPr defaultRowHeight="15" x14ac:dyDescent="0.25"/>
  <cols>
    <col min="2" max="2" width="18.5703125" customWidth="1"/>
    <col min="3" max="3" width="15.28515625" customWidth="1"/>
    <col min="4" max="4" width="15.5703125" customWidth="1"/>
    <col min="5" max="5" width="13.28515625" customWidth="1"/>
    <col min="6" max="6" width="14.42578125" customWidth="1"/>
    <col min="7" max="7" width="13.42578125" customWidth="1"/>
    <col min="10" max="10" width="20" customWidth="1"/>
    <col min="11" max="11" width="15.7109375" customWidth="1"/>
    <col min="12" max="12" width="12.7109375" customWidth="1"/>
    <col min="13" max="13" width="10.5703125" customWidth="1"/>
    <col min="14" max="14" width="12" customWidth="1"/>
  </cols>
  <sheetData>
    <row r="1" spans="1:14" x14ac:dyDescent="0.25">
      <c r="A1" s="14" t="s">
        <v>20</v>
      </c>
      <c r="B1" s="15"/>
      <c r="C1" s="15"/>
      <c r="D1" s="15"/>
      <c r="E1" s="15"/>
      <c r="F1" s="15"/>
      <c r="G1" s="16"/>
      <c r="I1" s="14" t="s">
        <v>23</v>
      </c>
      <c r="J1" s="15"/>
      <c r="K1" s="15"/>
      <c r="L1" s="15"/>
      <c r="M1" s="15"/>
      <c r="N1" s="16"/>
    </row>
    <row r="2" spans="1:14" x14ac:dyDescent="0.25">
      <c r="A2" s="2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10</v>
      </c>
      <c r="I2" s="2"/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4" x14ac:dyDescent="0.25">
      <c r="A3" s="5" t="s">
        <v>0</v>
      </c>
      <c r="B3" s="6">
        <v>0.85926928281461401</v>
      </c>
      <c r="C3" s="6">
        <v>0.94494047619047605</v>
      </c>
      <c r="D3" s="6">
        <v>0.90007087172218203</v>
      </c>
      <c r="E3" s="6">
        <v>0.86890770283462404</v>
      </c>
      <c r="F3" s="6">
        <v>0.73877176901924801</v>
      </c>
      <c r="G3" s="6">
        <f>E3-M3</f>
        <v>2.2674654906410519E-3</v>
      </c>
      <c r="I3" s="3" t="s">
        <v>0</v>
      </c>
      <c r="J3" s="6">
        <v>0.86164383561643798</v>
      </c>
      <c r="K3" s="6">
        <v>0.93601190476190399</v>
      </c>
      <c r="L3" s="6">
        <v>0.897289586305278</v>
      </c>
      <c r="M3" s="6">
        <v>0.86664023734398299</v>
      </c>
      <c r="N3" s="6">
        <v>0.73400738868364701</v>
      </c>
    </row>
    <row r="4" spans="1:14" x14ac:dyDescent="0.25">
      <c r="A4" s="3" t="s">
        <v>1</v>
      </c>
      <c r="B4" s="6">
        <v>0.66949152542372803</v>
      </c>
      <c r="C4" s="6">
        <v>0.90285714285714203</v>
      </c>
      <c r="D4" s="6">
        <v>0.76885644768856398</v>
      </c>
      <c r="E4" s="6">
        <v>0.74832507198181797</v>
      </c>
      <c r="F4" s="6">
        <v>0.50937754824680603</v>
      </c>
      <c r="G4" s="6">
        <f>E4-M4</f>
        <v>-4.4219885565159878E-3</v>
      </c>
      <c r="I4" s="3" t="s">
        <v>1</v>
      </c>
      <c r="J4" s="6">
        <v>0.66849315068493098</v>
      </c>
      <c r="K4" s="6">
        <v>0.92952380952380897</v>
      </c>
      <c r="L4" s="6">
        <v>0.777689243027888</v>
      </c>
      <c r="M4" s="6">
        <v>0.75274706053833396</v>
      </c>
      <c r="N4" s="6">
        <v>0.52113821138211303</v>
      </c>
    </row>
    <row r="5" spans="1:14" x14ac:dyDescent="0.25">
      <c r="A5" s="3" t="s">
        <v>2</v>
      </c>
      <c r="B5" s="6">
        <v>0.88219544846050801</v>
      </c>
      <c r="C5" s="6">
        <v>0.89295392953929498</v>
      </c>
      <c r="D5" s="6">
        <v>0.88754208754208697</v>
      </c>
      <c r="E5" s="6">
        <v>0.838739597230163</v>
      </c>
      <c r="F5" s="6">
        <v>0.67750132129934504</v>
      </c>
      <c r="G5" s="6">
        <f>E5-M5</f>
        <v>8.9722115574879524E-3</v>
      </c>
      <c r="I5" s="3" t="s">
        <v>2</v>
      </c>
      <c r="J5" s="6">
        <v>0.88356164383561597</v>
      </c>
      <c r="K5" s="6">
        <v>0.87398373983739797</v>
      </c>
      <c r="L5" s="6">
        <v>0.87874659400544897</v>
      </c>
      <c r="M5" s="6">
        <v>0.82976738567267505</v>
      </c>
      <c r="N5" s="6">
        <v>0.65955305013086296</v>
      </c>
    </row>
    <row r="6" spans="1:14" x14ac:dyDescent="0.25">
      <c r="B6" s="4"/>
      <c r="C6" s="4"/>
      <c r="D6" s="4"/>
      <c r="E6" s="4"/>
      <c r="F6" s="4"/>
    </row>
    <row r="7" spans="1:14" x14ac:dyDescent="0.25">
      <c r="B7" s="4"/>
      <c r="C7" s="4"/>
      <c r="D7" s="4"/>
      <c r="E7" s="4"/>
      <c r="F7" s="4"/>
    </row>
    <row r="8" spans="1:14" x14ac:dyDescent="0.25">
      <c r="A8" s="14" t="s">
        <v>21</v>
      </c>
      <c r="B8" s="15"/>
      <c r="C8" s="15"/>
      <c r="D8" s="15"/>
      <c r="E8" s="15"/>
      <c r="F8" s="15"/>
      <c r="G8" s="16"/>
    </row>
    <row r="9" spans="1:14" x14ac:dyDescent="0.25">
      <c r="A9" s="2"/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10</v>
      </c>
    </row>
    <row r="10" spans="1:14" x14ac:dyDescent="0.25">
      <c r="A10" s="5" t="s">
        <v>0</v>
      </c>
      <c r="B10" s="6">
        <v>0.86516853932584203</v>
      </c>
      <c r="C10" s="6">
        <v>0.91666666666666596</v>
      </c>
      <c r="D10" s="6">
        <v>0.89017341040462405</v>
      </c>
      <c r="E10" s="6">
        <v>0.86026527663088304</v>
      </c>
      <c r="F10" s="6">
        <v>0.72089067573836396</v>
      </c>
      <c r="G10" s="6">
        <f>E10-M3</f>
        <v>-6.374960713099953E-3</v>
      </c>
    </row>
    <row r="11" spans="1:14" x14ac:dyDescent="0.25">
      <c r="A11" s="3" t="s">
        <v>1</v>
      </c>
      <c r="B11" s="6">
        <v>0.66430594900849804</v>
      </c>
      <c r="C11" s="6">
        <v>0.89333333333333298</v>
      </c>
      <c r="D11" s="6">
        <v>0.76198212835093404</v>
      </c>
      <c r="E11" s="6">
        <v>0.74133424816021398</v>
      </c>
      <c r="F11" s="6">
        <v>0.49546855174913801</v>
      </c>
      <c r="G11" s="6">
        <f t="shared" ref="G11:G12" si="0">E11-M4</f>
        <v>-1.1412812378119974E-2</v>
      </c>
    </row>
    <row r="12" spans="1:14" x14ac:dyDescent="0.25">
      <c r="A12" s="3" t="s">
        <v>2</v>
      </c>
      <c r="B12" s="6">
        <v>0.88423988842398804</v>
      </c>
      <c r="C12" s="6">
        <v>0.85907859078590698</v>
      </c>
      <c r="D12" s="6">
        <v>0.87147766323024001</v>
      </c>
      <c r="E12" s="6">
        <v>0.822405498281787</v>
      </c>
      <c r="F12" s="6">
        <v>0.644941439820921</v>
      </c>
      <c r="G12" s="6">
        <f t="shared" si="0"/>
        <v>-7.3618873908880555E-3</v>
      </c>
    </row>
    <row r="13" spans="1:14" x14ac:dyDescent="0.25">
      <c r="B13" s="4"/>
      <c r="C13" s="4"/>
      <c r="D13" s="4"/>
      <c r="E13" s="4"/>
      <c r="F13" s="4"/>
    </row>
    <row r="14" spans="1:14" x14ac:dyDescent="0.25">
      <c r="B14" s="4"/>
      <c r="C14" s="4"/>
      <c r="D14" s="4"/>
      <c r="E14" s="4"/>
      <c r="F14" s="4"/>
    </row>
    <row r="15" spans="1:14" x14ac:dyDescent="0.25">
      <c r="A15" s="14" t="s">
        <v>22</v>
      </c>
      <c r="B15" s="15"/>
      <c r="C15" s="15"/>
      <c r="D15" s="15"/>
      <c r="E15" s="15"/>
      <c r="F15" s="15"/>
      <c r="G15" s="16"/>
    </row>
    <row r="16" spans="1:14" x14ac:dyDescent="0.25">
      <c r="A16" s="2"/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10</v>
      </c>
    </row>
    <row r="17" spans="1:10" x14ac:dyDescent="0.25">
      <c r="A17" s="5" t="s">
        <v>0</v>
      </c>
      <c r="B17" s="6">
        <v>0.85574229691876702</v>
      </c>
      <c r="C17" s="6">
        <v>0.90922619047619002</v>
      </c>
      <c r="D17" s="6">
        <v>0.88167388167388105</v>
      </c>
      <c r="E17" s="6">
        <v>0.84911434575864098</v>
      </c>
      <c r="F17" s="6">
        <v>0.69865769215891005</v>
      </c>
      <c r="G17" s="6">
        <f>E17-M3</f>
        <v>-1.7525891585342013E-2</v>
      </c>
    </row>
    <row r="18" spans="1:10" x14ac:dyDescent="0.25">
      <c r="A18" s="3" t="s">
        <v>1</v>
      </c>
      <c r="B18" s="6">
        <v>0.66911764705882304</v>
      </c>
      <c r="C18" s="6">
        <v>0.86666666666666603</v>
      </c>
      <c r="D18" s="6">
        <v>0.755186721991701</v>
      </c>
      <c r="E18" s="6">
        <v>0.74038405867026902</v>
      </c>
      <c r="F18" s="6">
        <v>0.49022282855843502</v>
      </c>
      <c r="G18" s="6">
        <f t="shared" ref="G18:G19" si="1">E18-M4</f>
        <v>-1.2363001868064938E-2</v>
      </c>
    </row>
    <row r="19" spans="1:10" x14ac:dyDescent="0.25">
      <c r="A19" s="3" t="s">
        <v>2</v>
      </c>
      <c r="B19" s="6">
        <v>0.878284923928077</v>
      </c>
      <c r="C19" s="6">
        <v>0.86043360433604299</v>
      </c>
      <c r="D19" s="6">
        <v>0.86926762491444198</v>
      </c>
      <c r="E19" s="6">
        <v>0.81802819585160402</v>
      </c>
      <c r="F19" s="6">
        <v>0.63612481450286695</v>
      </c>
      <c r="G19" s="6">
        <f t="shared" si="1"/>
        <v>-1.1739189821071028E-2</v>
      </c>
    </row>
    <row r="20" spans="1:10" x14ac:dyDescent="0.25">
      <c r="B20" s="4"/>
      <c r="C20" s="4"/>
      <c r="D20" s="4"/>
      <c r="E20" s="4"/>
      <c r="F20" s="4"/>
    </row>
    <row r="21" spans="1:10" x14ac:dyDescent="0.25">
      <c r="B21" s="4"/>
      <c r="C21" s="4"/>
      <c r="D21" s="4"/>
      <c r="E21" s="4"/>
      <c r="F21" s="4"/>
    </row>
    <row r="22" spans="1:10" x14ac:dyDescent="0.25">
      <c r="B22" s="4"/>
      <c r="C22" s="4"/>
      <c r="D22" s="4"/>
      <c r="E22" s="4"/>
      <c r="F22" s="4"/>
    </row>
    <row r="23" spans="1:10" x14ac:dyDescent="0.25">
      <c r="B23" s="4"/>
      <c r="C23" s="4"/>
      <c r="D23" s="4"/>
      <c r="E23" s="4"/>
      <c r="F23" s="4"/>
    </row>
    <row r="24" spans="1:10" x14ac:dyDescent="0.25">
      <c r="A24" s="24" t="s">
        <v>24</v>
      </c>
      <c r="B24" s="24"/>
      <c r="C24" s="24"/>
      <c r="D24" s="24"/>
      <c r="E24" s="24"/>
      <c r="F24" s="24"/>
      <c r="G24" s="24"/>
      <c r="H24" s="24"/>
      <c r="I24" s="24"/>
      <c r="J24" s="24"/>
    </row>
    <row r="25" spans="1:10" x14ac:dyDescent="0.25">
      <c r="A25" s="2"/>
      <c r="B25" s="20" t="s">
        <v>16</v>
      </c>
      <c r="C25" s="20"/>
      <c r="D25" s="20" t="s">
        <v>17</v>
      </c>
      <c r="E25" s="20"/>
      <c r="F25" s="20" t="s">
        <v>18</v>
      </c>
      <c r="G25" s="20"/>
      <c r="I25" s="20" t="s">
        <v>19</v>
      </c>
      <c r="J25" s="20"/>
    </row>
    <row r="26" spans="1:10" x14ac:dyDescent="0.25">
      <c r="A26" s="8" t="s">
        <v>0</v>
      </c>
      <c r="B26" s="2">
        <v>3</v>
      </c>
      <c r="C26" s="6">
        <f>B26/$J$26</f>
        <v>1.4999999999999999E-2</v>
      </c>
      <c r="D26" s="2">
        <v>8</v>
      </c>
      <c r="E26" s="6">
        <f>D26/$J$27</f>
        <v>0.04</v>
      </c>
      <c r="F26" s="2">
        <v>6</v>
      </c>
      <c r="G26" s="6">
        <f>F26/$J$28</f>
        <v>0.03</v>
      </c>
      <c r="I26" s="2" t="s">
        <v>16</v>
      </c>
      <c r="J26" s="2">
        <v>200</v>
      </c>
    </row>
    <row r="27" spans="1:10" x14ac:dyDescent="0.25">
      <c r="A27" s="8" t="s">
        <v>1</v>
      </c>
      <c r="B27" s="2">
        <v>9</v>
      </c>
      <c r="C27" s="6">
        <f>B27/$J$26</f>
        <v>4.4999999999999998E-2</v>
      </c>
      <c r="D27" s="2">
        <v>6</v>
      </c>
      <c r="E27" s="6">
        <f>D27/$J$27</f>
        <v>0.03</v>
      </c>
      <c r="F27" s="2">
        <v>8</v>
      </c>
      <c r="G27" s="6">
        <f>F27/$J$28</f>
        <v>0.04</v>
      </c>
      <c r="I27" s="2" t="s">
        <v>17</v>
      </c>
      <c r="J27" s="2">
        <v>200</v>
      </c>
    </row>
    <row r="28" spans="1:10" x14ac:dyDescent="0.25">
      <c r="A28" s="8" t="s">
        <v>2</v>
      </c>
      <c r="B28" s="2">
        <v>2</v>
      </c>
      <c r="C28" s="6">
        <f>B28/$J$26</f>
        <v>0.01</v>
      </c>
      <c r="D28" s="2">
        <v>8</v>
      </c>
      <c r="E28" s="6">
        <f>D28/$J$27</f>
        <v>0.04</v>
      </c>
      <c r="F28" s="2">
        <v>4</v>
      </c>
      <c r="G28" s="6">
        <f>F28/$J$28</f>
        <v>0.02</v>
      </c>
      <c r="I28" s="2" t="s">
        <v>18</v>
      </c>
      <c r="J28" s="2">
        <v>200</v>
      </c>
    </row>
    <row r="30" spans="1:10" x14ac:dyDescent="0.25">
      <c r="A30" s="23" t="s">
        <v>25</v>
      </c>
      <c r="B30" s="23"/>
      <c r="C30" s="23"/>
      <c r="D30" s="23"/>
      <c r="E30" s="9"/>
      <c r="F30" s="9"/>
      <c r="G30" s="9"/>
      <c r="H30" s="9"/>
      <c r="I30" s="9"/>
      <c r="J30" s="9"/>
    </row>
    <row r="31" spans="1:10" x14ac:dyDescent="0.25">
      <c r="A31" s="2"/>
      <c r="B31" s="10" t="s">
        <v>16</v>
      </c>
      <c r="C31" s="10" t="s">
        <v>17</v>
      </c>
      <c r="D31" s="10" t="s">
        <v>18</v>
      </c>
    </row>
    <row r="32" spans="1:10" x14ac:dyDescent="0.25">
      <c r="A32" s="8" t="s">
        <v>0</v>
      </c>
      <c r="B32" s="2">
        <v>2</v>
      </c>
      <c r="C32" s="2">
        <v>9</v>
      </c>
      <c r="D32" s="2">
        <v>25</v>
      </c>
    </row>
    <row r="33" spans="1:4" x14ac:dyDescent="0.25">
      <c r="A33" s="8" t="s">
        <v>1</v>
      </c>
      <c r="B33" s="2">
        <v>0</v>
      </c>
      <c r="C33" s="2">
        <v>4</v>
      </c>
      <c r="D33" s="2">
        <v>20</v>
      </c>
    </row>
    <row r="34" spans="1:4" x14ac:dyDescent="0.25">
      <c r="A34" s="8" t="s">
        <v>2</v>
      </c>
      <c r="B34" s="2">
        <v>0</v>
      </c>
      <c r="C34" s="2">
        <v>4</v>
      </c>
      <c r="D34" s="2">
        <v>22</v>
      </c>
    </row>
  </sheetData>
  <mergeCells count="10">
    <mergeCell ref="A24:J24"/>
    <mergeCell ref="A1:G1"/>
    <mergeCell ref="I1:N1"/>
    <mergeCell ref="A8:G8"/>
    <mergeCell ref="A15:G15"/>
    <mergeCell ref="A30:D30"/>
    <mergeCell ref="B25:C25"/>
    <mergeCell ref="D25:E25"/>
    <mergeCell ref="F25:G25"/>
    <mergeCell ref="I25:J25"/>
  </mergeCells>
  <conditionalFormatting sqref="B2:G2">
    <cfRule type="colorScale" priority="7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9:G9">
    <cfRule type="colorScale" priority="2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16:G16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G1:G23">
    <cfRule type="cellIs" dxfId="11" priority="5" operator="lessThan">
      <formula>0</formula>
    </cfRule>
    <cfRule type="cellIs" dxfId="10" priority="6" operator="greaterThan">
      <formula>0</formula>
    </cfRule>
  </conditionalFormatting>
  <conditionalFormatting sqref="J2:N2">
    <cfRule type="colorScale" priority="8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865AC-13CA-4EC7-88AB-2DFC0996DA3B}">
  <dimension ref="A1:O39"/>
  <sheetViews>
    <sheetView tabSelected="1" workbookViewId="0">
      <selection activeCell="I19" sqref="I19"/>
    </sheetView>
  </sheetViews>
  <sheetFormatPr defaultRowHeight="15" x14ac:dyDescent="0.25"/>
  <cols>
    <col min="2" max="2" width="18.5703125" customWidth="1"/>
    <col min="3" max="3" width="15.5703125" customWidth="1"/>
    <col min="4" max="4" width="13.85546875" customWidth="1"/>
    <col min="5" max="5" width="12" customWidth="1"/>
    <col min="6" max="6" width="13.28515625" customWidth="1"/>
    <col min="7" max="7" width="12.7109375" customWidth="1"/>
    <col min="8" max="8" width="13.28515625" customWidth="1"/>
    <col min="9" max="9" width="12.85546875" customWidth="1"/>
    <col min="10" max="10" width="17.140625" customWidth="1"/>
    <col min="11" max="11" width="16.7109375" customWidth="1"/>
    <col min="12" max="12" width="13.5703125" customWidth="1"/>
    <col min="13" max="13" width="15" customWidth="1"/>
    <col min="14" max="14" width="12.7109375" customWidth="1"/>
    <col min="15" max="15" width="13.42578125" customWidth="1"/>
  </cols>
  <sheetData>
    <row r="1" spans="1:15" x14ac:dyDescent="0.25">
      <c r="A1" s="14" t="s">
        <v>32</v>
      </c>
      <c r="B1" s="15"/>
      <c r="C1" s="15"/>
      <c r="D1" s="15"/>
      <c r="E1" s="15"/>
      <c r="F1" s="15"/>
      <c r="G1" s="16"/>
      <c r="I1" s="14" t="s">
        <v>31</v>
      </c>
      <c r="J1" s="15"/>
      <c r="K1" s="15"/>
      <c r="L1" s="15"/>
      <c r="M1" s="15"/>
      <c r="N1" s="16"/>
    </row>
    <row r="2" spans="1:15" x14ac:dyDescent="0.25">
      <c r="A2" s="2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10</v>
      </c>
      <c r="I2" s="2"/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5" x14ac:dyDescent="0.25">
      <c r="A3" s="11" t="s">
        <v>0</v>
      </c>
      <c r="B3" s="4">
        <v>0.86</v>
      </c>
      <c r="C3" s="4">
        <v>0.95982142857142805</v>
      </c>
      <c r="D3" s="4">
        <v>0.90717299578058996</v>
      </c>
      <c r="E3" s="4">
        <v>0.87309869301224596</v>
      </c>
      <c r="F3" s="4">
        <v>0.74751476806208195</v>
      </c>
      <c r="G3" s="6">
        <f>E3-M3</f>
        <v>2.8025595582179541E-3</v>
      </c>
      <c r="I3" s="3" t="s">
        <v>0</v>
      </c>
      <c r="J3" s="4">
        <v>0.865122615803814</v>
      </c>
      <c r="K3" s="4">
        <v>0.94494047619047605</v>
      </c>
      <c r="L3" s="4">
        <v>0.903271692745377</v>
      </c>
      <c r="M3" s="4">
        <v>0.87029613345402801</v>
      </c>
      <c r="N3" s="4">
        <v>0.74143785085562097</v>
      </c>
    </row>
    <row r="4" spans="1:15" x14ac:dyDescent="0.25">
      <c r="A4" s="1" t="s">
        <v>1</v>
      </c>
      <c r="B4" s="4">
        <v>0.66621621621621596</v>
      </c>
      <c r="C4" s="4">
        <v>0.93904761904761902</v>
      </c>
      <c r="D4" s="4">
        <v>0.77944664031620503</v>
      </c>
      <c r="E4" s="4">
        <v>0.746939287404776</v>
      </c>
      <c r="F4" s="4">
        <v>0.51212591546879005</v>
      </c>
      <c r="G4" s="6">
        <f>E4-M4</f>
        <v>-7.5922765857630026E-3</v>
      </c>
      <c r="I4" s="3" t="s">
        <v>1</v>
      </c>
      <c r="J4" s="4">
        <v>0.673024523160762</v>
      </c>
      <c r="K4" s="4">
        <v>0.94095238095238098</v>
      </c>
      <c r="L4" s="4">
        <v>0.78474980142970596</v>
      </c>
      <c r="M4" s="4">
        <v>0.754531563990539</v>
      </c>
      <c r="N4" s="4">
        <v>0.52580002154099204</v>
      </c>
    </row>
    <row r="5" spans="1:15" x14ac:dyDescent="0.25">
      <c r="A5" s="1" t="s">
        <v>2</v>
      </c>
      <c r="B5" s="4">
        <v>0.88400000000000001</v>
      </c>
      <c r="C5" s="4">
        <v>0.90450204638471998</v>
      </c>
      <c r="D5" s="4">
        <v>0.89413351314902201</v>
      </c>
      <c r="E5" s="4">
        <v>0.84364119662721204</v>
      </c>
      <c r="F5" s="4">
        <v>0.68736266371550903</v>
      </c>
      <c r="G5" s="6">
        <f>E5-M5</f>
        <v>1.0274000022335028E-2</v>
      </c>
      <c r="I5" s="3" t="s">
        <v>2</v>
      </c>
      <c r="J5" s="4">
        <v>0.884196185286103</v>
      </c>
      <c r="K5" s="4">
        <v>0.88540245566166398</v>
      </c>
      <c r="L5" s="4">
        <v>0.88479890933878602</v>
      </c>
      <c r="M5" s="4">
        <v>0.83336719660487701</v>
      </c>
      <c r="N5" s="4">
        <v>0.66673468633842403</v>
      </c>
    </row>
    <row r="6" spans="1:15" x14ac:dyDescent="0.25">
      <c r="A6" s="4"/>
      <c r="B6" s="4"/>
      <c r="C6" s="4"/>
      <c r="D6" s="4"/>
      <c r="E6" s="4"/>
      <c r="F6" s="4"/>
      <c r="G6" s="4"/>
    </row>
    <row r="7" spans="1:15" x14ac:dyDescent="0.25">
      <c r="A7" s="4"/>
      <c r="B7" s="4"/>
      <c r="C7" s="4"/>
      <c r="D7" s="4"/>
      <c r="E7" s="4"/>
      <c r="F7" s="4"/>
      <c r="G7" s="4"/>
    </row>
    <row r="8" spans="1:15" x14ac:dyDescent="0.25">
      <c r="A8" s="17" t="s">
        <v>33</v>
      </c>
      <c r="B8" s="18"/>
      <c r="C8" s="18"/>
      <c r="D8" s="18"/>
      <c r="E8" s="18"/>
      <c r="F8" s="18"/>
      <c r="G8" s="19"/>
      <c r="I8" s="3"/>
      <c r="J8" s="3" t="s">
        <v>0</v>
      </c>
      <c r="K8" s="3" t="s">
        <v>30</v>
      </c>
      <c r="L8" s="3" t="s">
        <v>1</v>
      </c>
      <c r="M8" s="3" t="s">
        <v>30</v>
      </c>
      <c r="N8" s="3" t="s">
        <v>2</v>
      </c>
      <c r="O8" s="3" t="s">
        <v>30</v>
      </c>
    </row>
    <row r="9" spans="1:15" x14ac:dyDescent="0.25">
      <c r="A9" s="6"/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10</v>
      </c>
      <c r="I9" s="3" t="s">
        <v>16</v>
      </c>
      <c r="J9" s="6">
        <v>0.87567147815804802</v>
      </c>
      <c r="K9" s="12">
        <f>G3</f>
        <v>2.8025595582179541E-3</v>
      </c>
      <c r="L9" s="6">
        <v>0.749473198588546</v>
      </c>
      <c r="M9" s="13">
        <f>G4</f>
        <v>-7.5922765857630026E-3</v>
      </c>
      <c r="N9" s="6">
        <v>0.84310593832299696</v>
      </c>
      <c r="O9" s="12">
        <f>G5</f>
        <v>1.0274000022335028E-2</v>
      </c>
    </row>
    <row r="10" spans="1:15" x14ac:dyDescent="0.25">
      <c r="A10" s="11" t="s">
        <v>0</v>
      </c>
      <c r="B10" s="4">
        <v>0.86468200270635998</v>
      </c>
      <c r="C10" s="4">
        <v>0.95089285714285698</v>
      </c>
      <c r="D10" s="4">
        <v>0.90574060949681001</v>
      </c>
      <c r="E10" s="4">
        <v>0.872846237359717</v>
      </c>
      <c r="F10" s="4">
        <v>0.746662362046846</v>
      </c>
      <c r="G10" s="6">
        <f>E10-M3</f>
        <v>2.550103905688994E-3</v>
      </c>
      <c r="I10" s="3" t="s">
        <v>17</v>
      </c>
      <c r="J10" s="6">
        <v>0.87338753670814095</v>
      </c>
      <c r="K10" s="12">
        <f>G10</f>
        <v>2.550103905688994E-3</v>
      </c>
      <c r="L10" s="6">
        <v>0.74658869395711402</v>
      </c>
      <c r="M10" s="13">
        <f>G11</f>
        <v>-1.042614197094005E-2</v>
      </c>
      <c r="N10" s="6">
        <v>0.84628444416553295</v>
      </c>
      <c r="O10" s="12">
        <f>G12</f>
        <v>1.0673045243206003E-2</v>
      </c>
    </row>
    <row r="11" spans="1:15" x14ac:dyDescent="0.25">
      <c r="A11" s="1" t="s">
        <v>1</v>
      </c>
      <c r="B11" s="4">
        <v>0.66666666666666596</v>
      </c>
      <c r="C11" s="4">
        <v>0.92190476190476101</v>
      </c>
      <c r="D11" s="4">
        <v>0.77378097521982403</v>
      </c>
      <c r="E11" s="4">
        <v>0.74410542201959895</v>
      </c>
      <c r="F11" s="4">
        <v>0.50436279725217903</v>
      </c>
      <c r="G11" s="6">
        <f t="shared" ref="G11:G12" si="0">E11-M4</f>
        <v>-1.042614197094005E-2</v>
      </c>
      <c r="I11" s="3" t="s">
        <v>18</v>
      </c>
      <c r="J11" s="6">
        <v>0.86060161408657299</v>
      </c>
      <c r="K11" s="13">
        <f>G17</f>
        <v>-1.1581968422416988E-2</v>
      </c>
      <c r="L11" s="6">
        <v>0.74225319396051104</v>
      </c>
      <c r="M11" s="13">
        <f>G18</f>
        <v>-1.4663007175688025E-2</v>
      </c>
      <c r="N11" s="6">
        <v>0.82986953966633203</v>
      </c>
      <c r="O11" s="12">
        <f>G19</f>
        <v>-4.362690110535028E-3</v>
      </c>
    </row>
    <row r="12" spans="1:15" x14ac:dyDescent="0.25">
      <c r="A12" s="1" t="s">
        <v>2</v>
      </c>
      <c r="B12" s="4">
        <v>0.886058981233244</v>
      </c>
      <c r="C12" s="4">
        <v>0.90177353342428301</v>
      </c>
      <c r="D12" s="4">
        <v>0.89384719405003299</v>
      </c>
      <c r="E12" s="4">
        <v>0.84404024184808302</v>
      </c>
      <c r="F12" s="4">
        <v>0.688127189570511</v>
      </c>
      <c r="G12" s="6">
        <f t="shared" si="0"/>
        <v>1.0673045243206003E-2</v>
      </c>
    </row>
    <row r="13" spans="1:15" x14ac:dyDescent="0.25">
      <c r="A13" s="4"/>
      <c r="B13" s="4"/>
      <c r="C13" s="4"/>
      <c r="D13" s="4"/>
      <c r="E13" s="4"/>
      <c r="F13" s="4"/>
      <c r="G13" s="4"/>
    </row>
    <row r="14" spans="1:15" x14ac:dyDescent="0.25">
      <c r="A14" s="4"/>
      <c r="B14" s="4"/>
      <c r="C14" s="4"/>
      <c r="D14" s="4"/>
      <c r="E14" s="4"/>
      <c r="F14" s="4"/>
      <c r="G14" s="4"/>
    </row>
    <row r="15" spans="1:15" x14ac:dyDescent="0.25">
      <c r="A15" s="17" t="s">
        <v>34</v>
      </c>
      <c r="B15" s="18"/>
      <c r="C15" s="18"/>
      <c r="D15" s="18"/>
      <c r="E15" s="18"/>
      <c r="F15" s="18"/>
      <c r="G15" s="19"/>
    </row>
    <row r="16" spans="1:15" x14ac:dyDescent="0.25">
      <c r="A16" s="6"/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10</v>
      </c>
    </row>
    <row r="17" spans="1:13" x14ac:dyDescent="0.25">
      <c r="A17" s="11" t="s">
        <v>0</v>
      </c>
      <c r="B17" s="4">
        <v>0.85597826086956497</v>
      </c>
      <c r="C17" s="4">
        <v>0.9375</v>
      </c>
      <c r="D17" s="4">
        <v>0.89488636363636298</v>
      </c>
      <c r="E17" s="4">
        <v>0.85871416503161102</v>
      </c>
      <c r="F17" s="4">
        <v>0.71841054746904098</v>
      </c>
      <c r="G17" s="6">
        <f>E17-M3</f>
        <v>-1.1581968422416988E-2</v>
      </c>
    </row>
    <row r="18" spans="1:13" x14ac:dyDescent="0.25">
      <c r="A18" s="1" t="s">
        <v>1</v>
      </c>
      <c r="B18" s="4">
        <v>0.66809116809116798</v>
      </c>
      <c r="C18" s="4">
        <v>0.89333333333333298</v>
      </c>
      <c r="D18" s="4">
        <v>0.76446617766911096</v>
      </c>
      <c r="E18" s="4">
        <v>0.73986855681485098</v>
      </c>
      <c r="F18" s="4">
        <v>0.492503528534526</v>
      </c>
      <c r="G18" s="6">
        <f t="shared" ref="G18:G19" si="1">E18-M4</f>
        <v>-1.4663007175688025E-2</v>
      </c>
    </row>
    <row r="19" spans="1:13" x14ac:dyDescent="0.25">
      <c r="A19" s="1" t="s">
        <v>2</v>
      </c>
      <c r="B19" s="4">
        <v>0.87940379403794</v>
      </c>
      <c r="C19" s="4">
        <v>0.88540245566166398</v>
      </c>
      <c r="D19" s="4">
        <v>0.88239292997960495</v>
      </c>
      <c r="E19" s="4">
        <v>0.82900450649434199</v>
      </c>
      <c r="F19" s="4">
        <v>0.65801655136902304</v>
      </c>
      <c r="G19" s="6">
        <f t="shared" si="1"/>
        <v>-4.362690110535028E-3</v>
      </c>
    </row>
    <row r="20" spans="1:13" x14ac:dyDescent="0.25">
      <c r="B20" s="4"/>
      <c r="C20" s="4"/>
      <c r="D20" s="4"/>
      <c r="E20" s="4"/>
      <c r="F20" s="4"/>
    </row>
    <row r="21" spans="1:13" x14ac:dyDescent="0.25">
      <c r="B21" s="4"/>
      <c r="C21" s="4"/>
      <c r="D21" s="4"/>
      <c r="E21" s="4"/>
      <c r="F21" s="4"/>
    </row>
    <row r="22" spans="1:13" x14ac:dyDescent="0.25">
      <c r="B22" s="4"/>
      <c r="C22" s="4"/>
      <c r="D22" s="4"/>
      <c r="E22" s="4"/>
      <c r="F22" s="4"/>
    </row>
    <row r="23" spans="1:13" x14ac:dyDescent="0.25">
      <c r="B23" s="4"/>
      <c r="C23" s="4"/>
      <c r="D23" s="4"/>
      <c r="E23" s="4"/>
      <c r="F23" s="4"/>
    </row>
    <row r="24" spans="1:13" x14ac:dyDescent="0.25">
      <c r="A24" s="21" t="s">
        <v>24</v>
      </c>
      <c r="B24" s="21"/>
      <c r="C24" s="21"/>
      <c r="D24" s="21"/>
      <c r="E24" s="21"/>
      <c r="F24" s="21"/>
      <c r="G24" s="21"/>
      <c r="H24" s="9"/>
      <c r="I24" s="9"/>
      <c r="J24" s="9"/>
    </row>
    <row r="25" spans="1:13" x14ac:dyDescent="0.25">
      <c r="A25" s="2"/>
      <c r="B25" s="20" t="s">
        <v>16</v>
      </c>
      <c r="C25" s="20"/>
      <c r="D25" s="20" t="s">
        <v>17</v>
      </c>
      <c r="E25" s="20"/>
      <c r="F25" s="20" t="s">
        <v>18</v>
      </c>
      <c r="G25" s="20"/>
      <c r="I25" s="20" t="s">
        <v>19</v>
      </c>
      <c r="J25" s="20"/>
      <c r="L25" s="20" t="s">
        <v>29</v>
      </c>
      <c r="M25" s="20"/>
    </row>
    <row r="26" spans="1:13" x14ac:dyDescent="0.25">
      <c r="A26" s="8" t="s">
        <v>0</v>
      </c>
      <c r="B26" s="2">
        <v>0</v>
      </c>
      <c r="C26" s="6">
        <f>B26/$J$26</f>
        <v>0</v>
      </c>
      <c r="D26" s="2">
        <v>0</v>
      </c>
      <c r="E26" s="6">
        <f>D26/$J$27</f>
        <v>0</v>
      </c>
      <c r="F26" s="2">
        <v>0</v>
      </c>
      <c r="G26" s="6">
        <f>F26/$J$28</f>
        <v>0</v>
      </c>
      <c r="I26" s="2" t="s">
        <v>16</v>
      </c>
      <c r="J26" s="2">
        <v>200</v>
      </c>
      <c r="L26" s="2" t="s">
        <v>16</v>
      </c>
      <c r="M26" s="2">
        <v>978</v>
      </c>
    </row>
    <row r="27" spans="1:13" x14ac:dyDescent="0.25">
      <c r="A27" s="8" t="s">
        <v>1</v>
      </c>
      <c r="B27" s="2">
        <v>0</v>
      </c>
      <c r="C27" s="6">
        <f>B27/$J$26</f>
        <v>0</v>
      </c>
      <c r="D27" s="2">
        <v>0</v>
      </c>
      <c r="E27" s="6">
        <f>D27/$J$27</f>
        <v>0</v>
      </c>
      <c r="F27" s="2">
        <v>0</v>
      </c>
      <c r="G27" s="6">
        <f>F27/$J$28</f>
        <v>0</v>
      </c>
      <c r="I27" s="2" t="s">
        <v>17</v>
      </c>
      <c r="J27" s="2">
        <v>200</v>
      </c>
      <c r="L27" s="2" t="s">
        <v>17</v>
      </c>
      <c r="M27" s="2">
        <v>978</v>
      </c>
    </row>
    <row r="28" spans="1:13" x14ac:dyDescent="0.25">
      <c r="A28" s="8" t="s">
        <v>2</v>
      </c>
      <c r="B28" s="2">
        <v>1</v>
      </c>
      <c r="C28" s="6">
        <f>B28/$J$26</f>
        <v>5.0000000000000001E-3</v>
      </c>
      <c r="D28" s="2">
        <v>0</v>
      </c>
      <c r="E28" s="6">
        <f>D28/$J$27</f>
        <v>0</v>
      </c>
      <c r="F28" s="2">
        <v>0</v>
      </c>
      <c r="G28" s="6">
        <f>F28/$J$28</f>
        <v>0</v>
      </c>
      <c r="I28" s="2" t="s">
        <v>18</v>
      </c>
      <c r="J28" s="2">
        <v>200</v>
      </c>
      <c r="L28" s="2" t="s">
        <v>18</v>
      </c>
      <c r="M28" s="2">
        <v>978</v>
      </c>
    </row>
    <row r="30" spans="1:13" x14ac:dyDescent="0.25">
      <c r="A30" s="23" t="s">
        <v>26</v>
      </c>
      <c r="B30" s="23"/>
      <c r="C30" s="23"/>
      <c r="D30" s="23"/>
      <c r="E30" s="9"/>
      <c r="F30" s="9"/>
      <c r="G30" s="9"/>
      <c r="H30" s="9"/>
    </row>
    <row r="31" spans="1:13" x14ac:dyDescent="0.25">
      <c r="A31" s="2"/>
      <c r="B31" s="10" t="s">
        <v>16</v>
      </c>
      <c r="C31" s="10" t="s">
        <v>17</v>
      </c>
      <c r="D31" s="10" t="s">
        <v>18</v>
      </c>
      <c r="F31" s="20" t="s">
        <v>28</v>
      </c>
      <c r="G31" s="20"/>
      <c r="H31" s="20"/>
      <c r="I31" s="20"/>
    </row>
    <row r="32" spans="1:13" x14ac:dyDescent="0.25">
      <c r="A32" s="8" t="s">
        <v>0</v>
      </c>
      <c r="B32" s="2">
        <v>2</v>
      </c>
      <c r="C32" s="2">
        <v>9</v>
      </c>
      <c r="D32" s="2">
        <v>26</v>
      </c>
      <c r="F32" s="2"/>
      <c r="G32" s="10" t="s">
        <v>16</v>
      </c>
      <c r="H32" s="10" t="s">
        <v>17</v>
      </c>
      <c r="I32" s="10" t="s">
        <v>18</v>
      </c>
    </row>
    <row r="33" spans="1:9" x14ac:dyDescent="0.25">
      <c r="A33" s="8" t="s">
        <v>1</v>
      </c>
      <c r="B33" s="2">
        <v>1</v>
      </c>
      <c r="C33" s="2">
        <v>4</v>
      </c>
      <c r="D33" s="2">
        <v>20</v>
      </c>
      <c r="F33" s="8" t="s">
        <v>0</v>
      </c>
      <c r="G33" s="6">
        <f>(B32+B37)/M26</f>
        <v>3.0674846625766872E-3</v>
      </c>
      <c r="H33" s="6">
        <f>(C32+C37)/M26</f>
        <v>1.0224948875255624E-2</v>
      </c>
      <c r="I33" s="6">
        <f>(D32+D37)/M26</f>
        <v>2.8629856850715747E-2</v>
      </c>
    </row>
    <row r="34" spans="1:9" x14ac:dyDescent="0.25">
      <c r="A34" s="8" t="s">
        <v>2</v>
      </c>
      <c r="B34" s="2">
        <v>1</v>
      </c>
      <c r="C34" s="2">
        <v>7</v>
      </c>
      <c r="D34" s="2">
        <v>22</v>
      </c>
      <c r="F34" s="8" t="s">
        <v>1</v>
      </c>
      <c r="G34" s="6">
        <f t="shared" ref="G34:G35" si="2">(B33+B38)/M27</f>
        <v>1.0224948875255625E-3</v>
      </c>
      <c r="H34" s="6">
        <f t="shared" ref="H34:H35" si="3">(C33+C38)/M27</f>
        <v>6.1349693251533744E-3</v>
      </c>
      <c r="I34" s="6">
        <f t="shared" ref="I34:I35" si="4">(D33+D38)/M27</f>
        <v>2.1472392638036811E-2</v>
      </c>
    </row>
    <row r="35" spans="1:9" ht="32.25" customHeight="1" x14ac:dyDescent="0.25">
      <c r="A35" s="22" t="s">
        <v>27</v>
      </c>
      <c r="B35" s="22"/>
      <c r="C35" s="22"/>
      <c r="D35" s="22"/>
      <c r="F35" s="8" t="s">
        <v>2</v>
      </c>
      <c r="G35" s="6">
        <f t="shared" si="2"/>
        <v>2.0449897750511249E-3</v>
      </c>
      <c r="H35" s="6">
        <f t="shared" si="3"/>
        <v>9.202453987730062E-3</v>
      </c>
      <c r="I35" s="6">
        <f t="shared" si="4"/>
        <v>2.4539877300613498E-2</v>
      </c>
    </row>
    <row r="36" spans="1:9" x14ac:dyDescent="0.25">
      <c r="A36" s="2"/>
      <c r="B36" s="10" t="s">
        <v>16</v>
      </c>
      <c r="C36" s="10" t="s">
        <v>17</v>
      </c>
      <c r="D36" s="10" t="s">
        <v>18</v>
      </c>
    </row>
    <row r="37" spans="1:9" x14ac:dyDescent="0.25">
      <c r="A37" s="8" t="s">
        <v>0</v>
      </c>
      <c r="B37" s="2">
        <v>1</v>
      </c>
      <c r="C37" s="2">
        <v>1</v>
      </c>
      <c r="D37" s="2">
        <v>2</v>
      </c>
    </row>
    <row r="38" spans="1:9" x14ac:dyDescent="0.25">
      <c r="A38" s="8" t="s">
        <v>1</v>
      </c>
      <c r="B38" s="2">
        <v>0</v>
      </c>
      <c r="C38" s="2">
        <v>2</v>
      </c>
      <c r="D38" s="2">
        <v>1</v>
      </c>
    </row>
    <row r="39" spans="1:9" x14ac:dyDescent="0.25">
      <c r="A39" s="8" t="s">
        <v>2</v>
      </c>
      <c r="B39" s="2">
        <v>1</v>
      </c>
      <c r="C39" s="2">
        <v>2</v>
      </c>
      <c r="D39" s="2">
        <v>2</v>
      </c>
    </row>
  </sheetData>
  <mergeCells count="13">
    <mergeCell ref="F31:I31"/>
    <mergeCell ref="A24:G24"/>
    <mergeCell ref="A35:D35"/>
    <mergeCell ref="L25:M25"/>
    <mergeCell ref="A30:D30"/>
    <mergeCell ref="A1:G1"/>
    <mergeCell ref="I1:N1"/>
    <mergeCell ref="A8:G8"/>
    <mergeCell ref="A15:G15"/>
    <mergeCell ref="B25:C25"/>
    <mergeCell ref="D25:E25"/>
    <mergeCell ref="F25:G25"/>
    <mergeCell ref="I25:J25"/>
  </mergeCells>
  <conditionalFormatting sqref="B2:G2">
    <cfRule type="colorScale" priority="13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9:G9">
    <cfRule type="colorScale" priority="10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16:G16">
    <cfRule type="colorScale" priority="9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26:G28">
    <cfRule type="cellIs" dxfId="9" priority="7" operator="equal">
      <formula>0</formula>
    </cfRule>
    <cfRule type="cellIs" dxfId="8" priority="8" operator="greaterThan">
      <formula>0</formula>
    </cfRule>
  </conditionalFormatting>
  <conditionalFormatting sqref="G1:G23"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G33:I35">
    <cfRule type="cellIs" dxfId="5" priority="3" operator="lessThan">
      <formula>0.01</formula>
    </cfRule>
    <cfRule type="cellIs" dxfId="4" priority="4" operator="equal">
      <formula>0</formula>
    </cfRule>
    <cfRule type="cellIs" dxfId="3" priority="5" operator="greaterThan">
      <formula>0.01</formula>
    </cfRule>
    <cfRule type="cellIs" dxfId="2" priority="6" operator="greaterThan">
      <formula>1</formula>
    </cfRule>
  </conditionalFormatting>
  <conditionalFormatting sqref="J2:N2">
    <cfRule type="colorScale" priority="14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K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OG</vt:lpstr>
      <vt:lpstr>Better Parsing</vt:lpstr>
      <vt:lpstr>Json-repair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Artjoms Kučerjavijs</cp:lastModifiedBy>
  <dcterms:created xsi:type="dcterms:W3CDTF">2015-06-05T18:17:20Z</dcterms:created>
  <dcterms:modified xsi:type="dcterms:W3CDTF">2026-05-04T09:28:21Z</dcterms:modified>
</cp:coreProperties>
</file>