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repos\Using-LLM-for-automated-feedback-generation-on-a-bachelor-thesis\src\results\llm\initial_testing_01\"/>
    </mc:Choice>
  </mc:AlternateContent>
  <xr:revisionPtr revIDLastSave="0" documentId="13_ncr:1_{81240C69-8B45-404A-A16A-13B6E294F9FC}" xr6:coauthVersionLast="47" xr6:coauthVersionMax="47" xr10:uidLastSave="{00000000-0000-0000-0000-000000000000}"/>
  <bookViews>
    <workbookView xWindow="-28920" yWindow="15" windowWidth="29040" windowHeight="15720" activeTab="2" xr2:uid="{00000000-000D-0000-FFFF-FFFF00000000}"/>
  </bookViews>
  <sheets>
    <sheet name="Overall" sheetId="4" r:id="rId1"/>
    <sheet name="gemma4-26b-q4" sheetId="2" r:id="rId2"/>
    <sheet name="gemma4-26b-q4-dif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6" i="4" l="1"/>
  <c r="M66" i="4"/>
  <c r="N66" i="4"/>
  <c r="O66" i="4"/>
  <c r="K66" i="4"/>
  <c r="L44" i="4"/>
  <c r="M44" i="4"/>
  <c r="N44" i="4"/>
  <c r="O44" i="4"/>
  <c r="K44" i="4"/>
  <c r="L22" i="4"/>
  <c r="M22" i="4"/>
  <c r="N22" i="4"/>
  <c r="O22" i="4"/>
  <c r="K22" i="4"/>
  <c r="C3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25" i="3"/>
  <c r="D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47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25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D3" i="3"/>
  <c r="C66" i="4"/>
  <c r="D66" i="4"/>
  <c r="E66" i="4"/>
  <c r="F66" i="4"/>
  <c r="B66" i="4"/>
  <c r="C44" i="4"/>
  <c r="D44" i="4"/>
  <c r="E44" i="4"/>
  <c r="F44" i="4"/>
  <c r="B44" i="4"/>
  <c r="C22" i="4"/>
  <c r="D22" i="4"/>
  <c r="E22" i="4"/>
  <c r="F22" i="4"/>
  <c r="B22" i="4"/>
</calcChain>
</file>

<file path=xl/sharedStrings.xml><?xml version="1.0" encoding="utf-8"?>
<sst xmlns="http://schemas.openxmlformats.org/spreadsheetml/2006/main" count="460" uniqueCount="58">
  <si>
    <t>Model</t>
  </si>
  <si>
    <t>gemma2-9b-q8</t>
  </si>
  <si>
    <t>gemma3-12b-qat</t>
  </si>
  <si>
    <t>gemma3-12b-q8</t>
  </si>
  <si>
    <t>gemma3-27b-qat</t>
  </si>
  <si>
    <t>llama3.1-8b-q8</t>
  </si>
  <si>
    <t>llama3.1-8b-fp16</t>
  </si>
  <si>
    <t>mistral-nemo-12b-q8</t>
  </si>
  <si>
    <t>mistral-small-22b-q6</t>
  </si>
  <si>
    <t>mistral-small-24b-q4</t>
  </si>
  <si>
    <t>qwen3-14b-q8-thinking</t>
  </si>
  <si>
    <t>qwen3-30b-q4-thinking</t>
  </si>
  <si>
    <t>deepseek-r1-14b-q8</t>
  </si>
  <si>
    <t>gpt-oss-20b-thinking</t>
  </si>
  <si>
    <t>eurollm-9b-q8</t>
  </si>
  <si>
    <t>magistral-24b-q4</t>
  </si>
  <si>
    <t>Precision_positive</t>
  </si>
  <si>
    <t>Recall_positive</t>
  </si>
  <si>
    <t>F1_macro</t>
  </si>
  <si>
    <t>F1_positive</t>
  </si>
  <si>
    <t>CohenKappa</t>
  </si>
  <si>
    <t>Model vs human3</t>
  </si>
  <si>
    <t>Model vs human2</t>
  </si>
  <si>
    <t>Model vs human1</t>
  </si>
  <si>
    <t>Question</t>
  </si>
  <si>
    <t>Significance</t>
  </si>
  <si>
    <t>State_of_the_art</t>
  </si>
  <si>
    <t>Gap</t>
  </si>
  <si>
    <t>Problem</t>
  </si>
  <si>
    <t>References</t>
  </si>
  <si>
    <t>Purpose</t>
  </si>
  <si>
    <t>Intention</t>
  </si>
  <si>
    <t>Structure_goal</t>
  </si>
  <si>
    <t>Congruence</t>
  </si>
  <si>
    <t>Outlook</t>
  </si>
  <si>
    <t>Quantity</t>
  </si>
  <si>
    <t>Completeness</t>
  </si>
  <si>
    <t>Format</t>
  </si>
  <si>
    <t>Structure_tasks</t>
  </si>
  <si>
    <t>Clarity</t>
  </si>
  <si>
    <t>Relevance</t>
  </si>
  <si>
    <t>Chapters</t>
  </si>
  <si>
    <t>Description</t>
  </si>
  <si>
    <t>Structure_afterTasks</t>
  </si>
  <si>
    <t>Average</t>
  </si>
  <si>
    <t>Human1 vs Human2</t>
  </si>
  <si>
    <t>Human2 vs human3</t>
  </si>
  <si>
    <t>Human1 vs human3</t>
  </si>
  <si>
    <t>Diff to human2</t>
  </si>
  <si>
    <t>Diff to human3</t>
  </si>
  <si>
    <t>Diff to human1</t>
  </si>
  <si>
    <t>qwen3.5-9b-q8</t>
  </si>
  <si>
    <t>gemma4-26b-q4</t>
  </si>
  <si>
    <t>ministral3-14b-q8</t>
  </si>
  <si>
    <t>MAX</t>
  </si>
  <si>
    <t>OG</t>
  </si>
  <si>
    <t>Using JSON-repair</t>
  </si>
  <si>
    <t>JSON-repair (only one response for TASKS was previously unparsable)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</si>
</sst>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2" fontId="1" fillId="0" borderId="0" xfId="0" applyNumberFormat="1" applyFont="1"/>
    <xf numFmtId="2" fontId="0" fillId="0" borderId="0" xfId="0" applyNumberFormat="1"/>
    <xf numFmtId="2" fontId="1" fillId="0" borderId="1" xfId="0" applyNumberFormat="1" applyFont="1" applyBorder="1"/>
    <xf numFmtId="10" fontId="1" fillId="0" borderId="0" xfId="0" applyNumberFormat="1" applyFont="1"/>
    <xf numFmtId="10" fontId="0" fillId="0" borderId="0" xfId="0" applyNumberFormat="1"/>
    <xf numFmtId="10" fontId="1" fillId="0" borderId="1" xfId="0" applyNumberFormat="1" applyFont="1" applyBorder="1"/>
    <xf numFmtId="10" fontId="0" fillId="0" borderId="1" xfId="0" applyNumberFormat="1" applyBorder="1"/>
    <xf numFmtId="0" fontId="1" fillId="0" borderId="1" xfId="0" applyFont="1" applyBorder="1"/>
    <xf numFmtId="0" fontId="2" fillId="0" borderId="3" xfId="0" applyFont="1" applyBorder="1"/>
    <xf numFmtId="0" fontId="1" fillId="0" borderId="1" xfId="0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F8CBD-665F-4514-96E7-546603B512CB}">
  <dimension ref="A1:O66"/>
  <sheetViews>
    <sheetView workbookViewId="0">
      <selection activeCell="H8" sqref="H8"/>
    </sheetView>
  </sheetViews>
  <sheetFormatPr defaultRowHeight="15" x14ac:dyDescent="0.25"/>
  <cols>
    <col min="1" max="1" width="24.85546875" customWidth="1"/>
    <col min="2" max="2" width="18.28515625" style="5" customWidth="1"/>
    <col min="3" max="3" width="15.140625" style="5" customWidth="1"/>
    <col min="4" max="4" width="17.140625" style="5" customWidth="1"/>
    <col min="5" max="5" width="13.7109375" style="5" customWidth="1"/>
    <col min="6" max="6" width="14.140625" style="5" customWidth="1"/>
    <col min="10" max="10" width="23.7109375" customWidth="1"/>
    <col min="11" max="11" width="21.28515625" style="5" customWidth="1"/>
    <col min="12" max="12" width="18" style="5" customWidth="1"/>
    <col min="13" max="13" width="17.28515625" style="5" customWidth="1"/>
    <col min="14" max="15" width="13.42578125" style="5" customWidth="1"/>
  </cols>
  <sheetData>
    <row r="1" spans="1:15" x14ac:dyDescent="0.25">
      <c r="A1" s="15" t="s">
        <v>55</v>
      </c>
      <c r="B1" s="15"/>
      <c r="C1" s="15"/>
      <c r="D1" s="15"/>
      <c r="E1" s="15"/>
      <c r="F1" s="15"/>
      <c r="J1" s="15" t="s">
        <v>56</v>
      </c>
      <c r="K1" s="15"/>
      <c r="L1" s="15"/>
      <c r="M1" s="15"/>
      <c r="N1" s="15"/>
      <c r="O1" s="15"/>
    </row>
    <row r="2" spans="1:15" x14ac:dyDescent="0.25">
      <c r="A2" s="10" t="s">
        <v>23</v>
      </c>
      <c r="B2" s="10"/>
      <c r="C2" s="10"/>
      <c r="D2" s="10"/>
      <c r="E2" s="10"/>
      <c r="F2" s="10"/>
      <c r="J2" s="10" t="s">
        <v>23</v>
      </c>
      <c r="K2" s="10"/>
      <c r="L2" s="10"/>
      <c r="M2" s="10"/>
      <c r="N2" s="10"/>
      <c r="O2" s="10"/>
    </row>
    <row r="3" spans="1:15" x14ac:dyDescent="0.25">
      <c r="A3" s="8" t="s">
        <v>0</v>
      </c>
      <c r="B3" s="6" t="s">
        <v>16</v>
      </c>
      <c r="C3" s="6" t="s">
        <v>17</v>
      </c>
      <c r="D3" s="6" t="s">
        <v>19</v>
      </c>
      <c r="E3" s="6" t="s">
        <v>18</v>
      </c>
      <c r="F3" s="6" t="s">
        <v>20</v>
      </c>
      <c r="J3" s="8" t="s">
        <v>0</v>
      </c>
      <c r="K3" s="6" t="s">
        <v>16</v>
      </c>
      <c r="L3" s="6" t="s">
        <v>17</v>
      </c>
      <c r="M3" s="6" t="s">
        <v>19</v>
      </c>
      <c r="N3" s="6" t="s">
        <v>18</v>
      </c>
      <c r="O3" s="6" t="s">
        <v>20</v>
      </c>
    </row>
    <row r="4" spans="1:15" x14ac:dyDescent="0.25">
      <c r="A4" s="8" t="s">
        <v>1</v>
      </c>
      <c r="B4" s="7">
        <v>0.79975124378109397</v>
      </c>
      <c r="C4" s="7">
        <v>0.88324175824175799</v>
      </c>
      <c r="D4" s="7">
        <v>0.83942558746736295</v>
      </c>
      <c r="E4" s="7">
        <v>0.78304612706701404</v>
      </c>
      <c r="F4" s="7">
        <v>0.56790237588980297</v>
      </c>
      <c r="J4" s="8" t="s">
        <v>1</v>
      </c>
      <c r="K4" s="5">
        <v>0.79975124378109397</v>
      </c>
      <c r="L4" s="5">
        <v>0.88324175824175799</v>
      </c>
      <c r="M4" s="5">
        <v>0.83942558746736295</v>
      </c>
      <c r="N4" s="5">
        <v>0.78304612706701404</v>
      </c>
      <c r="O4" s="5">
        <v>0.56790237588980297</v>
      </c>
    </row>
    <row r="5" spans="1:15" x14ac:dyDescent="0.25">
      <c r="A5" s="8" t="s">
        <v>2</v>
      </c>
      <c r="B5" s="7">
        <v>0.82074263764404598</v>
      </c>
      <c r="C5" s="7">
        <v>0.88049450549450503</v>
      </c>
      <c r="D5" s="7">
        <v>0.84956925115970805</v>
      </c>
      <c r="E5" s="7">
        <v>0.80181604486479396</v>
      </c>
      <c r="F5" s="7">
        <v>0.60442987182720698</v>
      </c>
      <c r="J5" s="8" t="s">
        <v>2</v>
      </c>
      <c r="K5" s="5">
        <v>0.819108280254777</v>
      </c>
      <c r="L5" s="5">
        <v>0.88324175824175799</v>
      </c>
      <c r="M5" s="5">
        <v>0.84996695307336401</v>
      </c>
      <c r="N5" s="5">
        <v>0.80147966804919502</v>
      </c>
      <c r="O5" s="5">
        <v>0.60388492181939202</v>
      </c>
    </row>
    <row r="6" spans="1:15" x14ac:dyDescent="0.25">
      <c r="A6" s="8" t="s">
        <v>3</v>
      </c>
      <c r="B6" s="7">
        <v>0.82845744680850997</v>
      </c>
      <c r="C6" s="7">
        <v>0.85576923076922995</v>
      </c>
      <c r="D6" s="7">
        <v>0.84189189189189095</v>
      </c>
      <c r="E6" s="7">
        <v>0.79804678628208003</v>
      </c>
      <c r="F6" s="7">
        <v>0.59625862695241505</v>
      </c>
      <c r="J6" s="8" t="s">
        <v>3</v>
      </c>
      <c r="K6" s="5">
        <v>0.82891246684350095</v>
      </c>
      <c r="L6" s="5">
        <v>0.85851648351648302</v>
      </c>
      <c r="M6" s="5">
        <v>0.84345479082321095</v>
      </c>
      <c r="N6" s="5">
        <v>0.79962213225371104</v>
      </c>
      <c r="O6" s="5">
        <v>0.59943659412058703</v>
      </c>
    </row>
    <row r="7" spans="1:15" x14ac:dyDescent="0.25">
      <c r="A7" s="8" t="s">
        <v>4</v>
      </c>
      <c r="B7" s="7">
        <v>0.81430219146482097</v>
      </c>
      <c r="C7" s="6">
        <v>0.969780219780219</v>
      </c>
      <c r="D7" s="7">
        <v>0.88526645768025003</v>
      </c>
      <c r="E7" s="7">
        <v>0.83331423242435398</v>
      </c>
      <c r="F7" s="7">
        <v>0.67138435366112903</v>
      </c>
      <c r="J7" s="8" t="s">
        <v>4</v>
      </c>
      <c r="K7" s="5">
        <v>0.81430219146482097</v>
      </c>
      <c r="L7" s="4">
        <v>0.969780219780219</v>
      </c>
      <c r="M7" s="5">
        <v>0.88526645768025003</v>
      </c>
      <c r="N7" s="5">
        <v>0.83331423242435398</v>
      </c>
      <c r="O7" s="5">
        <v>0.67138435366112903</v>
      </c>
    </row>
    <row r="8" spans="1:15" x14ac:dyDescent="0.25">
      <c r="A8" s="8" t="s">
        <v>5</v>
      </c>
      <c r="B8" s="7">
        <v>0.77697841726618699</v>
      </c>
      <c r="C8" s="7">
        <v>0.59340659340659296</v>
      </c>
      <c r="D8" s="7">
        <v>0.67289719626168198</v>
      </c>
      <c r="E8" s="7">
        <v>0.65352176886254798</v>
      </c>
      <c r="F8" s="7">
        <v>0.320677619817825</v>
      </c>
      <c r="J8" s="8" t="s">
        <v>5</v>
      </c>
      <c r="K8" s="5">
        <v>0.77697841726618699</v>
      </c>
      <c r="L8" s="5">
        <v>0.59340659340659296</v>
      </c>
      <c r="M8" s="5">
        <v>0.67289719626168198</v>
      </c>
      <c r="N8" s="5">
        <v>0.65352176886254798</v>
      </c>
      <c r="O8" s="5">
        <v>0.320677619817825</v>
      </c>
    </row>
    <row r="9" spans="1:15" x14ac:dyDescent="0.25">
      <c r="A9" s="8" t="s">
        <v>6</v>
      </c>
      <c r="B9" s="7">
        <v>0.79500891265597096</v>
      </c>
      <c r="C9" s="7">
        <v>0.61263736263736202</v>
      </c>
      <c r="D9" s="7">
        <v>0.69200930954228002</v>
      </c>
      <c r="E9" s="7">
        <v>0.67233886299511203</v>
      </c>
      <c r="F9" s="7">
        <v>0.35685204527529601</v>
      </c>
      <c r="J9" s="8" t="s">
        <v>6</v>
      </c>
      <c r="K9" s="5">
        <v>0.79500891265597096</v>
      </c>
      <c r="L9" s="5">
        <v>0.61263736263736202</v>
      </c>
      <c r="M9" s="5">
        <v>0.69200930954228002</v>
      </c>
      <c r="N9" s="5">
        <v>0.67233886299511203</v>
      </c>
      <c r="O9" s="5">
        <v>0.35685204527529601</v>
      </c>
    </row>
    <row r="10" spans="1:15" x14ac:dyDescent="0.25">
      <c r="A10" s="8" t="s">
        <v>7</v>
      </c>
      <c r="B10" s="7">
        <v>0.80606060606060603</v>
      </c>
      <c r="C10" s="7">
        <v>0.73076923076922995</v>
      </c>
      <c r="D10" s="7">
        <v>0.76657060518731901</v>
      </c>
      <c r="E10" s="7">
        <v>0.72811288880055602</v>
      </c>
      <c r="F10" s="7">
        <v>0.45795544598045201</v>
      </c>
      <c r="J10" s="8" t="s">
        <v>7</v>
      </c>
      <c r="K10" s="5">
        <v>0.80606060606060603</v>
      </c>
      <c r="L10" s="5">
        <v>0.73076923076922995</v>
      </c>
      <c r="M10" s="5">
        <v>0.76657060518731901</v>
      </c>
      <c r="N10" s="5">
        <v>0.72811288880055602</v>
      </c>
      <c r="O10" s="5">
        <v>0.45795544598045201</v>
      </c>
    </row>
    <row r="11" spans="1:15" x14ac:dyDescent="0.25">
      <c r="A11" s="8" t="s">
        <v>8</v>
      </c>
      <c r="B11" s="7">
        <v>0.79880239520957996</v>
      </c>
      <c r="C11" s="7">
        <v>0.91620879120879095</v>
      </c>
      <c r="D11" s="7">
        <v>0.85348688419705698</v>
      </c>
      <c r="E11" s="7">
        <v>0.79498279767965596</v>
      </c>
      <c r="F11" s="7">
        <v>0.59339298647290994</v>
      </c>
      <c r="J11" s="8" t="s">
        <v>8</v>
      </c>
      <c r="K11" s="5">
        <v>0.79928315412186302</v>
      </c>
      <c r="L11" s="5">
        <v>0.91895604395604302</v>
      </c>
      <c r="M11" s="5">
        <v>0.85495207667731599</v>
      </c>
      <c r="N11" s="5">
        <v>0.79656485033404401</v>
      </c>
      <c r="O11" s="5">
        <v>0.59666144530428</v>
      </c>
    </row>
    <row r="12" spans="1:15" x14ac:dyDescent="0.25">
      <c r="A12" s="8" t="s">
        <v>9</v>
      </c>
      <c r="B12" s="7">
        <v>0.84036144578313199</v>
      </c>
      <c r="C12" s="7">
        <v>0.76648351648351598</v>
      </c>
      <c r="D12" s="7">
        <v>0.80172413793103403</v>
      </c>
      <c r="E12" s="7">
        <v>0.76816976127320902</v>
      </c>
      <c r="F12" s="7">
        <v>0.53764768118497597</v>
      </c>
      <c r="J12" s="8" t="s">
        <v>9</v>
      </c>
      <c r="K12" s="5">
        <v>0.84036144578313199</v>
      </c>
      <c r="L12" s="5">
        <v>0.76648351648351598</v>
      </c>
      <c r="M12" s="5">
        <v>0.80172413793103403</v>
      </c>
      <c r="N12" s="5">
        <v>0.76816976127320902</v>
      </c>
      <c r="O12" s="5">
        <v>0.53764768118497597</v>
      </c>
    </row>
    <row r="13" spans="1:15" x14ac:dyDescent="0.25">
      <c r="A13" s="8" t="s">
        <v>10</v>
      </c>
      <c r="B13" s="7">
        <v>0.875</v>
      </c>
      <c r="C13" s="7">
        <v>0.75961538461538403</v>
      </c>
      <c r="D13" s="7">
        <v>0.81323529411764695</v>
      </c>
      <c r="E13" s="7">
        <v>0.78814749780509197</v>
      </c>
      <c r="F13" s="7">
        <v>0.57895655208515096</v>
      </c>
      <c r="J13" s="8" t="s">
        <v>10</v>
      </c>
      <c r="K13" s="5">
        <v>0.875</v>
      </c>
      <c r="L13" s="5">
        <v>0.75961538461538403</v>
      </c>
      <c r="M13" s="5">
        <v>0.81323529411764695</v>
      </c>
      <c r="N13" s="5">
        <v>0.78814749780509197</v>
      </c>
      <c r="O13" s="5">
        <v>0.57895655208515096</v>
      </c>
    </row>
    <row r="14" spans="1:15" x14ac:dyDescent="0.25">
      <c r="A14" s="8" t="s">
        <v>11</v>
      </c>
      <c r="B14" s="7">
        <v>0.85467625899280497</v>
      </c>
      <c r="C14" s="7">
        <v>0.81593406593406503</v>
      </c>
      <c r="D14" s="7">
        <v>0.83485593815881898</v>
      </c>
      <c r="E14" s="7">
        <v>0.80097603647286797</v>
      </c>
      <c r="F14" s="7">
        <v>0.60225374696568101</v>
      </c>
      <c r="J14" s="8" t="s">
        <v>11</v>
      </c>
      <c r="K14" s="5">
        <v>0.85467625899280497</v>
      </c>
      <c r="L14" s="5">
        <v>0.81593406593406503</v>
      </c>
      <c r="M14" s="5">
        <v>0.83485593815881898</v>
      </c>
      <c r="N14" s="5">
        <v>0.80097603647286797</v>
      </c>
      <c r="O14" s="5">
        <v>0.60225374696568101</v>
      </c>
    </row>
    <row r="15" spans="1:15" x14ac:dyDescent="0.25">
      <c r="A15" s="8" t="s">
        <v>12</v>
      </c>
      <c r="B15" s="7">
        <v>0.78669724770642202</v>
      </c>
      <c r="C15" s="7">
        <v>0.94230769230769196</v>
      </c>
      <c r="D15" s="7">
        <v>0.85750000000000004</v>
      </c>
      <c r="E15" s="7">
        <v>0.79173076923076902</v>
      </c>
      <c r="F15" s="7">
        <v>0.58985040711986303</v>
      </c>
      <c r="J15" s="8" t="s">
        <v>12</v>
      </c>
      <c r="K15" s="5">
        <v>0.78669724770642202</v>
      </c>
      <c r="L15" s="5">
        <v>0.94230769230769196</v>
      </c>
      <c r="M15" s="5">
        <v>0.85750000000000004</v>
      </c>
      <c r="N15" s="5">
        <v>0.79173076923076902</v>
      </c>
      <c r="O15" s="5">
        <v>0.58985040711986303</v>
      </c>
    </row>
    <row r="16" spans="1:15" x14ac:dyDescent="0.25">
      <c r="A16" s="8" t="s">
        <v>13</v>
      </c>
      <c r="B16" s="7">
        <v>0.87835926449787805</v>
      </c>
      <c r="C16" s="7">
        <v>0.85302197802197799</v>
      </c>
      <c r="D16" s="7">
        <v>0.86550522648083605</v>
      </c>
      <c r="E16" s="7">
        <v>0.83596224212707804</v>
      </c>
      <c r="F16" s="7">
        <v>0.67202557967935905</v>
      </c>
      <c r="J16" s="8" t="s">
        <v>13</v>
      </c>
      <c r="K16" s="5">
        <v>0.87835926449787805</v>
      </c>
      <c r="L16" s="5">
        <v>0.85302197802197799</v>
      </c>
      <c r="M16" s="5">
        <v>0.86550522648083605</v>
      </c>
      <c r="N16" s="5">
        <v>0.83596224212707804</v>
      </c>
      <c r="O16" s="5">
        <v>0.67202557967935905</v>
      </c>
    </row>
    <row r="17" spans="1:15" x14ac:dyDescent="0.25">
      <c r="A17" s="8" t="s">
        <v>14</v>
      </c>
      <c r="B17" s="7">
        <v>0.76005961251862797</v>
      </c>
      <c r="C17" s="7">
        <v>0.70054945054944995</v>
      </c>
      <c r="D17" s="7">
        <v>0.72909220872051395</v>
      </c>
      <c r="E17" s="7">
        <v>0.68109983136896901</v>
      </c>
      <c r="F17" s="7">
        <v>0.363630338245365</v>
      </c>
      <c r="J17" s="8" t="s">
        <v>14</v>
      </c>
      <c r="K17" s="5">
        <v>0.75620437956204301</v>
      </c>
      <c r="L17" s="5">
        <v>0.71153846153846101</v>
      </c>
      <c r="M17" s="5">
        <v>0.73319179051663097</v>
      </c>
      <c r="N17" s="5">
        <v>0.68161061557234903</v>
      </c>
      <c r="O17" s="5">
        <v>0.36403791090493398</v>
      </c>
    </row>
    <row r="18" spans="1:15" x14ac:dyDescent="0.25">
      <c r="A18" s="8" t="s">
        <v>15</v>
      </c>
      <c r="B18" s="7">
        <v>0.80653266331658202</v>
      </c>
      <c r="C18" s="7">
        <v>0.88186813186813096</v>
      </c>
      <c r="D18" s="7">
        <v>0.84251968503937003</v>
      </c>
      <c r="E18" s="7">
        <v>0.789101252211315</v>
      </c>
      <c r="F18" s="7">
        <v>0.57960726468147805</v>
      </c>
      <c r="J18" s="8" t="s">
        <v>15</v>
      </c>
      <c r="K18" s="5">
        <v>0.80653266331658202</v>
      </c>
      <c r="L18" s="5">
        <v>0.88186813186813096</v>
      </c>
      <c r="M18" s="5">
        <v>0.84251968503937003</v>
      </c>
      <c r="N18" s="5">
        <v>0.789101252211315</v>
      </c>
      <c r="O18" s="5">
        <v>0.57960726468147805</v>
      </c>
    </row>
    <row r="19" spans="1:15" x14ac:dyDescent="0.25">
      <c r="A19" s="8" t="s">
        <v>51</v>
      </c>
      <c r="B19" s="6">
        <v>0.89629629629629604</v>
      </c>
      <c r="C19" s="7">
        <v>0.83104395604395598</v>
      </c>
      <c r="D19" s="7">
        <v>0.86243763364219495</v>
      </c>
      <c r="E19" s="7">
        <v>0.83743844753052399</v>
      </c>
      <c r="F19" s="7">
        <v>0.67550826272592501</v>
      </c>
      <c r="J19" s="8" t="s">
        <v>51</v>
      </c>
      <c r="K19" s="4">
        <v>0.89629629629629604</v>
      </c>
      <c r="L19" s="5">
        <v>0.83104395604395598</v>
      </c>
      <c r="M19" s="5">
        <v>0.86243763364219495</v>
      </c>
      <c r="N19" s="5">
        <v>0.83743844753052399</v>
      </c>
      <c r="O19" s="5">
        <v>0.67550826272592501</v>
      </c>
    </row>
    <row r="20" spans="1:15" x14ac:dyDescent="0.25">
      <c r="A20" s="8" t="s">
        <v>52</v>
      </c>
      <c r="B20" s="7">
        <v>0.86658195679796701</v>
      </c>
      <c r="C20" s="7">
        <v>0.93681318681318604</v>
      </c>
      <c r="D20" s="6">
        <v>0.90033003300329995</v>
      </c>
      <c r="E20" s="6">
        <v>0.86783131966413596</v>
      </c>
      <c r="F20" s="6">
        <v>0.73632332330032302</v>
      </c>
      <c r="J20" s="8" t="s">
        <v>52</v>
      </c>
      <c r="K20" s="5">
        <v>0.86759142496847397</v>
      </c>
      <c r="L20" s="5">
        <v>0.94505494505494503</v>
      </c>
      <c r="M20" s="4">
        <v>0.90466798159105799</v>
      </c>
      <c r="N20" s="4">
        <v>0.87275111483504597</v>
      </c>
      <c r="O20" s="4">
        <v>0.74627587318398403</v>
      </c>
    </row>
    <row r="21" spans="1:15" x14ac:dyDescent="0.25">
      <c r="A21" s="8" t="s">
        <v>53</v>
      </c>
      <c r="B21" s="7">
        <v>0.88679245283018804</v>
      </c>
      <c r="C21" s="7">
        <v>0.64560439560439498</v>
      </c>
      <c r="D21" s="7">
        <v>0.74721780604133503</v>
      </c>
      <c r="E21" s="7">
        <v>0.73817449075490904</v>
      </c>
      <c r="F21" s="7">
        <v>0.48988982228038302</v>
      </c>
      <c r="J21" s="8" t="s">
        <v>53</v>
      </c>
      <c r="K21" s="5">
        <v>0.88786764705882304</v>
      </c>
      <c r="L21" s="5">
        <v>0.66346153846153799</v>
      </c>
      <c r="M21" s="5">
        <v>0.75943396226415005</v>
      </c>
      <c r="N21" s="5">
        <v>0.74782042940793703</v>
      </c>
      <c r="O21" s="5">
        <v>0.50695386702849299</v>
      </c>
    </row>
    <row r="22" spans="1:15" x14ac:dyDescent="0.25">
      <c r="A22" s="9" t="s">
        <v>54</v>
      </c>
      <c r="B22" s="4">
        <f>MAX(B4:B21)</f>
        <v>0.89629629629629604</v>
      </c>
      <c r="C22" s="4">
        <f t="shared" ref="C22:F22" si="0">MAX(C4:C21)</f>
        <v>0.969780219780219</v>
      </c>
      <c r="D22" s="4">
        <f t="shared" si="0"/>
        <v>0.90033003300329995</v>
      </c>
      <c r="E22" s="4">
        <f t="shared" si="0"/>
        <v>0.86783131966413596</v>
      </c>
      <c r="F22" s="4">
        <f t="shared" si="0"/>
        <v>0.73632332330032302</v>
      </c>
      <c r="J22" s="9" t="s">
        <v>54</v>
      </c>
      <c r="K22" s="4">
        <f>MAX(K4:K21)</f>
        <v>0.89629629629629604</v>
      </c>
      <c r="L22" s="4">
        <f t="shared" ref="L22:O22" si="1">MAX(L4:L21)</f>
        <v>0.969780219780219</v>
      </c>
      <c r="M22" s="4">
        <f t="shared" si="1"/>
        <v>0.90466798159105799</v>
      </c>
      <c r="N22" s="4">
        <f t="shared" si="1"/>
        <v>0.87275111483504597</v>
      </c>
      <c r="O22" s="4">
        <f t="shared" si="1"/>
        <v>0.74627587318398403</v>
      </c>
    </row>
    <row r="24" spans="1:15" x14ac:dyDescent="0.25">
      <c r="A24" s="10" t="s">
        <v>22</v>
      </c>
      <c r="B24" s="10"/>
      <c r="C24" s="10"/>
      <c r="D24" s="10"/>
      <c r="E24" s="10"/>
      <c r="F24" s="10"/>
      <c r="J24" s="10" t="s">
        <v>22</v>
      </c>
      <c r="K24" s="10"/>
      <c r="L24" s="10"/>
      <c r="M24" s="10"/>
      <c r="N24" s="10"/>
      <c r="O24" s="10"/>
    </row>
    <row r="25" spans="1:15" x14ac:dyDescent="0.25">
      <c r="A25" s="8" t="s">
        <v>0</v>
      </c>
      <c r="B25" s="6" t="s">
        <v>16</v>
      </c>
      <c r="C25" s="6" t="s">
        <v>17</v>
      </c>
      <c r="D25" s="6" t="s">
        <v>19</v>
      </c>
      <c r="E25" s="6" t="s">
        <v>18</v>
      </c>
      <c r="F25" s="6" t="s">
        <v>20</v>
      </c>
      <c r="J25" s="8" t="s">
        <v>0</v>
      </c>
      <c r="K25" s="6" t="s">
        <v>16</v>
      </c>
      <c r="L25" s="6" t="s">
        <v>17</v>
      </c>
      <c r="M25" s="6" t="s">
        <v>19</v>
      </c>
      <c r="N25" s="6" t="s">
        <v>18</v>
      </c>
      <c r="O25" s="6" t="s">
        <v>20</v>
      </c>
    </row>
    <row r="26" spans="1:15" x14ac:dyDescent="0.25">
      <c r="A26" s="8" t="s">
        <v>1</v>
      </c>
      <c r="B26" s="7">
        <v>0.62935323383084496</v>
      </c>
      <c r="C26" s="7">
        <v>0.88771929824561402</v>
      </c>
      <c r="D26" s="7">
        <v>0.73653566229985401</v>
      </c>
      <c r="E26" s="7">
        <v>0.69719032642402901</v>
      </c>
      <c r="F26" s="7">
        <v>0.41636436920596498</v>
      </c>
      <c r="J26" s="8" t="s">
        <v>1</v>
      </c>
      <c r="K26" s="5">
        <v>0.62935323383084496</v>
      </c>
      <c r="L26" s="5">
        <v>0.88771929824561402</v>
      </c>
      <c r="M26" s="5">
        <v>0.73653566229985401</v>
      </c>
      <c r="N26" s="5">
        <v>0.69719032642402901</v>
      </c>
      <c r="O26" s="5">
        <v>0.41636436920596498</v>
      </c>
    </row>
    <row r="27" spans="1:15" x14ac:dyDescent="0.25">
      <c r="A27" s="8" t="s">
        <v>2</v>
      </c>
      <c r="B27" s="7">
        <v>0.63252240717029395</v>
      </c>
      <c r="C27" s="7">
        <v>0.86666666666666603</v>
      </c>
      <c r="D27" s="7">
        <v>0.73131014063656496</v>
      </c>
      <c r="E27" s="7">
        <v>0.69775497781134399</v>
      </c>
      <c r="F27" s="7">
        <v>0.41339258660741302</v>
      </c>
      <c r="J27" s="8" t="s">
        <v>2</v>
      </c>
      <c r="K27" s="5">
        <v>0.63057324840764295</v>
      </c>
      <c r="L27" s="5">
        <v>0.86842105263157898</v>
      </c>
      <c r="M27" s="5">
        <v>0.73062730627306205</v>
      </c>
      <c r="N27" s="5">
        <v>0.69586147114953001</v>
      </c>
      <c r="O27" s="5">
        <v>0.41039878849066103</v>
      </c>
    </row>
    <row r="28" spans="1:15" x14ac:dyDescent="0.25">
      <c r="A28" s="8" t="s">
        <v>3</v>
      </c>
      <c r="B28" s="7">
        <v>0.63430851063829696</v>
      </c>
      <c r="C28" s="7">
        <v>0.83684210526315705</v>
      </c>
      <c r="D28" s="7">
        <v>0.721633888048411</v>
      </c>
      <c r="E28" s="7">
        <v>0.69505117825843898</v>
      </c>
      <c r="F28" s="7">
        <v>0.40356564019448898</v>
      </c>
      <c r="J28" s="8" t="s">
        <v>3</v>
      </c>
      <c r="K28" s="5">
        <v>0.63395225464190896</v>
      </c>
      <c r="L28" s="5">
        <v>0.83859649122807001</v>
      </c>
      <c r="M28" s="5">
        <v>0.722054380664652</v>
      </c>
      <c r="N28" s="5">
        <v>0.69496220838286704</v>
      </c>
      <c r="O28" s="5">
        <v>0.40368644926068398</v>
      </c>
    </row>
    <row r="29" spans="1:15" x14ac:dyDescent="0.25">
      <c r="A29" s="8" t="s">
        <v>4</v>
      </c>
      <c r="B29" s="7">
        <v>0.62514417531718502</v>
      </c>
      <c r="C29" s="6">
        <v>0.95087719298245599</v>
      </c>
      <c r="D29" s="7">
        <v>0.75434933890048705</v>
      </c>
      <c r="E29" s="7">
        <v>0.69978773477687595</v>
      </c>
      <c r="F29" s="7">
        <v>0.43446480424551898</v>
      </c>
      <c r="J29" s="8" t="s">
        <v>4</v>
      </c>
      <c r="K29" s="5">
        <v>0.62514417531718502</v>
      </c>
      <c r="L29" s="4">
        <v>0.95087719298245599</v>
      </c>
      <c r="M29" s="5">
        <v>0.75434933890048705</v>
      </c>
      <c r="N29" s="5">
        <v>0.69978773477687595</v>
      </c>
      <c r="O29" s="5">
        <v>0.43446480424551898</v>
      </c>
    </row>
    <row r="30" spans="1:15" x14ac:dyDescent="0.25">
      <c r="A30" s="8" t="s">
        <v>5</v>
      </c>
      <c r="B30" s="7">
        <v>0.60971223021582699</v>
      </c>
      <c r="C30" s="7">
        <v>0.59473684210526301</v>
      </c>
      <c r="D30" s="7">
        <v>0.60213143872113595</v>
      </c>
      <c r="E30" s="7">
        <v>0.62954963972810196</v>
      </c>
      <c r="F30" s="7">
        <v>0.25919801570897</v>
      </c>
      <c r="J30" s="8" t="s">
        <v>5</v>
      </c>
      <c r="K30" s="5">
        <v>0.60971223021582699</v>
      </c>
      <c r="L30" s="5">
        <v>0.59473684210526301</v>
      </c>
      <c r="M30" s="5">
        <v>0.60213143872113595</v>
      </c>
      <c r="N30" s="5">
        <v>0.62954963972810196</v>
      </c>
      <c r="O30" s="5">
        <v>0.25919801570897</v>
      </c>
    </row>
    <row r="31" spans="1:15" x14ac:dyDescent="0.25">
      <c r="A31" s="8" t="s">
        <v>6</v>
      </c>
      <c r="B31" s="7">
        <v>0.62566844919786002</v>
      </c>
      <c r="C31" s="7">
        <v>0.61578947368421</v>
      </c>
      <c r="D31" s="7">
        <v>0.62068965517241304</v>
      </c>
      <c r="E31" s="7">
        <v>0.64547165310503796</v>
      </c>
      <c r="F31" s="7">
        <v>0.290982336535481</v>
      </c>
      <c r="J31" s="8" t="s">
        <v>6</v>
      </c>
      <c r="K31" s="5">
        <v>0.62566844919786002</v>
      </c>
      <c r="L31" s="5">
        <v>0.61578947368421</v>
      </c>
      <c r="M31" s="5">
        <v>0.62068965517241304</v>
      </c>
      <c r="N31" s="5">
        <v>0.64547165310503796</v>
      </c>
      <c r="O31" s="5">
        <v>0.290982336535481</v>
      </c>
    </row>
    <row r="32" spans="1:15" x14ac:dyDescent="0.25">
      <c r="A32" s="8" t="s">
        <v>7</v>
      </c>
      <c r="B32" s="7">
        <v>0.63787878787878705</v>
      </c>
      <c r="C32" s="7">
        <v>0.73859649122807003</v>
      </c>
      <c r="D32" s="7">
        <v>0.68455284552845497</v>
      </c>
      <c r="E32" s="7">
        <v>0.68087875221514205</v>
      </c>
      <c r="F32" s="7">
        <v>0.36523517382413001</v>
      </c>
      <c r="J32" s="8" t="s">
        <v>7</v>
      </c>
      <c r="K32" s="5">
        <v>0.63787878787878705</v>
      </c>
      <c r="L32" s="5">
        <v>0.73859649122807003</v>
      </c>
      <c r="M32" s="5">
        <v>0.68455284552845497</v>
      </c>
      <c r="N32" s="5">
        <v>0.68087875221514205</v>
      </c>
      <c r="O32" s="5">
        <v>0.36523517382413001</v>
      </c>
    </row>
    <row r="33" spans="1:15" x14ac:dyDescent="0.25">
      <c r="A33" s="8" t="s">
        <v>8</v>
      </c>
      <c r="B33" s="7">
        <v>0.62874251497005895</v>
      </c>
      <c r="C33" s="7">
        <v>0.92105263157894701</v>
      </c>
      <c r="D33" s="7">
        <v>0.74733096085409201</v>
      </c>
      <c r="E33" s="7">
        <v>0.70083198480873998</v>
      </c>
      <c r="F33" s="7">
        <v>0.42943244600703101</v>
      </c>
      <c r="J33" s="8" t="s">
        <v>8</v>
      </c>
      <c r="K33" s="5">
        <v>0.627240143369175</v>
      </c>
      <c r="L33" s="5">
        <v>0.92105263157894701</v>
      </c>
      <c r="M33" s="5">
        <v>0.74626865671641796</v>
      </c>
      <c r="N33" s="5">
        <v>0.69898798689479402</v>
      </c>
      <c r="O33" s="5">
        <v>0.42633323290147601</v>
      </c>
    </row>
    <row r="34" spans="1:15" x14ac:dyDescent="0.25">
      <c r="A34" s="8" t="s">
        <v>9</v>
      </c>
      <c r="B34" s="7">
        <v>0.67319277108433695</v>
      </c>
      <c r="C34" s="7">
        <v>0.78421052631578902</v>
      </c>
      <c r="D34" s="7">
        <v>0.72447325769854098</v>
      </c>
      <c r="E34" s="7">
        <v>0.72033345689601502</v>
      </c>
      <c r="F34" s="7">
        <v>0.44399018806214202</v>
      </c>
      <c r="J34" s="8" t="s">
        <v>9</v>
      </c>
      <c r="K34" s="5">
        <v>0.67319277108433695</v>
      </c>
      <c r="L34" s="5">
        <v>0.78421052631578902</v>
      </c>
      <c r="M34" s="5">
        <v>0.72447325769854098</v>
      </c>
      <c r="N34" s="5">
        <v>0.72033345689601502</v>
      </c>
      <c r="O34" s="5">
        <v>0.44399018806214202</v>
      </c>
    </row>
    <row r="35" spans="1:15" x14ac:dyDescent="0.25">
      <c r="A35" s="8" t="s">
        <v>10</v>
      </c>
      <c r="B35" s="7">
        <v>0.691455696202531</v>
      </c>
      <c r="C35" s="7">
        <v>0.76666666666666605</v>
      </c>
      <c r="D35" s="7">
        <v>0.72712146422628898</v>
      </c>
      <c r="E35" s="7">
        <v>0.73022739877981102</v>
      </c>
      <c r="F35" s="7">
        <v>0.461853978671041</v>
      </c>
      <c r="J35" s="8" t="s">
        <v>10</v>
      </c>
      <c r="K35" s="5">
        <v>0.691455696202531</v>
      </c>
      <c r="L35" s="5">
        <v>0.76666666666666605</v>
      </c>
      <c r="M35" s="5">
        <v>0.72712146422628898</v>
      </c>
      <c r="N35" s="5">
        <v>0.73022739877981102</v>
      </c>
      <c r="O35" s="5">
        <v>0.461853978671041</v>
      </c>
    </row>
    <row r="36" spans="1:15" x14ac:dyDescent="0.25">
      <c r="A36" s="8" t="s">
        <v>11</v>
      </c>
      <c r="B36" s="7">
        <v>0.66043165467625897</v>
      </c>
      <c r="C36" s="7">
        <v>0.80526315789473601</v>
      </c>
      <c r="D36" s="7">
        <v>0.725691699604743</v>
      </c>
      <c r="E36" s="7">
        <v>0.71417404174752996</v>
      </c>
      <c r="F36" s="7">
        <v>0.43433520122261798</v>
      </c>
      <c r="J36" s="8" t="s">
        <v>11</v>
      </c>
      <c r="K36" s="5">
        <v>0.66043165467625897</v>
      </c>
      <c r="L36" s="5">
        <v>0.80526315789473601</v>
      </c>
      <c r="M36" s="5">
        <v>0.725691699604743</v>
      </c>
      <c r="N36" s="5">
        <v>0.71417404174752996</v>
      </c>
      <c r="O36" s="5">
        <v>0.43433520122261798</v>
      </c>
    </row>
    <row r="37" spans="1:15" x14ac:dyDescent="0.25">
      <c r="A37" s="8" t="s">
        <v>12</v>
      </c>
      <c r="B37" s="7">
        <v>0.61811926605504497</v>
      </c>
      <c r="C37" s="7">
        <v>0.94561403508771902</v>
      </c>
      <c r="D37" s="7">
        <v>0.74757281553398003</v>
      </c>
      <c r="E37" s="7">
        <v>0.68994802392860599</v>
      </c>
      <c r="F37" s="7">
        <v>0.417133706965572</v>
      </c>
      <c r="J37" s="8" t="s">
        <v>12</v>
      </c>
      <c r="K37" s="5">
        <v>0.61811926605504497</v>
      </c>
      <c r="L37" s="5">
        <v>0.94561403508771902</v>
      </c>
      <c r="M37" s="5">
        <v>0.74757281553398003</v>
      </c>
      <c r="N37" s="5">
        <v>0.68994802392860599</v>
      </c>
      <c r="O37" s="5">
        <v>0.417133706965572</v>
      </c>
    </row>
    <row r="38" spans="1:15" x14ac:dyDescent="0.25">
      <c r="A38" s="8" t="s">
        <v>13</v>
      </c>
      <c r="B38" s="6">
        <v>0.71145685997171104</v>
      </c>
      <c r="C38" s="7">
        <v>0.88245614035087705</v>
      </c>
      <c r="D38" s="6">
        <v>0.78778386844166004</v>
      </c>
      <c r="E38" s="6">
        <v>0.77657591690481198</v>
      </c>
      <c r="F38" s="6">
        <v>0.55876666327465097</v>
      </c>
      <c r="J38" s="8" t="s">
        <v>13</v>
      </c>
      <c r="K38" s="4">
        <v>0.71145685997171104</v>
      </c>
      <c r="L38" s="5">
        <v>0.88245614035087705</v>
      </c>
      <c r="M38" s="5">
        <v>0.78778386844166004</v>
      </c>
      <c r="N38" s="4">
        <v>0.77657591690481198</v>
      </c>
      <c r="O38" s="4">
        <v>0.55876666327465097</v>
      </c>
    </row>
    <row r="39" spans="1:15" x14ac:dyDescent="0.25">
      <c r="A39" s="8" t="s">
        <v>14</v>
      </c>
      <c r="B39" s="7">
        <v>0.59910581222056603</v>
      </c>
      <c r="C39" s="7">
        <v>0.70526315789473604</v>
      </c>
      <c r="D39" s="7">
        <v>0.64786462530217503</v>
      </c>
      <c r="E39" s="7">
        <v>0.64047303473337103</v>
      </c>
      <c r="F39" s="7">
        <v>0.28587478296394597</v>
      </c>
      <c r="J39" s="8" t="s">
        <v>14</v>
      </c>
      <c r="K39" s="5">
        <v>0.59562043795620401</v>
      </c>
      <c r="L39" s="5">
        <v>0.71578947368420998</v>
      </c>
      <c r="M39" s="5">
        <v>0.650199203187251</v>
      </c>
      <c r="N39" s="5">
        <v>0.63860852257918199</v>
      </c>
      <c r="O39" s="5">
        <v>0.28363080061193202</v>
      </c>
    </row>
    <row r="40" spans="1:15" x14ac:dyDescent="0.25">
      <c r="A40" s="8" t="s">
        <v>15</v>
      </c>
      <c r="B40" s="7">
        <v>0.62814070351758799</v>
      </c>
      <c r="C40" s="7">
        <v>0.87719298245613997</v>
      </c>
      <c r="D40" s="7">
        <v>0.73206442166910601</v>
      </c>
      <c r="E40" s="7">
        <v>0.69436241721353997</v>
      </c>
      <c r="F40" s="7">
        <v>0.40943929003630403</v>
      </c>
      <c r="J40" s="8" t="s">
        <v>15</v>
      </c>
      <c r="K40" s="5">
        <v>0.62814070351758799</v>
      </c>
      <c r="L40" s="5">
        <v>0.87719298245613997</v>
      </c>
      <c r="M40" s="5">
        <v>0.73206442166910601</v>
      </c>
      <c r="N40" s="5">
        <v>0.69436241721353997</v>
      </c>
      <c r="O40" s="5">
        <v>0.40943929003630403</v>
      </c>
    </row>
    <row r="41" spans="1:15" x14ac:dyDescent="0.25">
      <c r="A41" s="8" t="s">
        <v>51</v>
      </c>
      <c r="B41" s="7">
        <v>0.706666666666666</v>
      </c>
      <c r="C41" s="7">
        <v>0.83684210526315705</v>
      </c>
      <c r="D41" s="7">
        <v>0.76626506024096297</v>
      </c>
      <c r="E41" s="7">
        <v>0.76055460257203999</v>
      </c>
      <c r="F41" s="7">
        <v>0.52465543644716695</v>
      </c>
      <c r="J41" s="8" t="s">
        <v>51</v>
      </c>
      <c r="K41" s="5">
        <v>0.706666666666666</v>
      </c>
      <c r="L41" s="5">
        <v>0.83684210526315705</v>
      </c>
      <c r="M41" s="5">
        <v>0.76626506024096297</v>
      </c>
      <c r="N41" s="5">
        <v>0.76055460257203999</v>
      </c>
      <c r="O41" s="5">
        <v>0.52465543644716695</v>
      </c>
    </row>
    <row r="42" spans="1:15" x14ac:dyDescent="0.25">
      <c r="A42" s="8" t="s">
        <v>52</v>
      </c>
      <c r="B42" s="7">
        <v>0.677255400254129</v>
      </c>
      <c r="C42" s="7">
        <v>0.93508771929824497</v>
      </c>
      <c r="D42" s="7">
        <v>0.78555637435519499</v>
      </c>
      <c r="E42" s="7">
        <v>0.75742934996829503</v>
      </c>
      <c r="F42" s="7">
        <v>0.530029272231755</v>
      </c>
      <c r="J42" s="8" t="s">
        <v>52</v>
      </c>
      <c r="K42" s="5">
        <v>0.679697351828499</v>
      </c>
      <c r="L42" s="5">
        <v>0.94561403508771902</v>
      </c>
      <c r="M42" s="4">
        <v>0.79090242112985998</v>
      </c>
      <c r="N42" s="5">
        <v>0.76214905902143104</v>
      </c>
      <c r="O42" s="5">
        <v>0.53999798244729103</v>
      </c>
    </row>
    <row r="43" spans="1:15" x14ac:dyDescent="0.25">
      <c r="A43" s="8" t="s">
        <v>53</v>
      </c>
      <c r="B43" s="7">
        <v>0.70754716981132004</v>
      </c>
      <c r="C43" s="7">
        <v>0.65789473684210498</v>
      </c>
      <c r="D43" s="7">
        <v>0.68181818181818099</v>
      </c>
      <c r="E43" s="7">
        <v>0.70952770952770905</v>
      </c>
      <c r="F43" s="7">
        <v>0.419689119170984</v>
      </c>
      <c r="J43" s="8" t="s">
        <v>53</v>
      </c>
      <c r="K43" s="5">
        <v>0.71139705882352899</v>
      </c>
      <c r="L43" s="5">
        <v>0.67894736842105197</v>
      </c>
      <c r="M43" s="5">
        <v>0.694793536804308</v>
      </c>
      <c r="N43" s="5">
        <v>0.71841346035966502</v>
      </c>
      <c r="O43" s="5">
        <v>0.43708609271523102</v>
      </c>
    </row>
    <row r="44" spans="1:15" x14ac:dyDescent="0.25">
      <c r="A44" s="9" t="s">
        <v>54</v>
      </c>
      <c r="B44" s="4">
        <f>MAX(B26:B43)</f>
        <v>0.71145685997171104</v>
      </c>
      <c r="C44" s="4">
        <f t="shared" ref="C44:F44" si="2">MAX(C26:C43)</f>
        <v>0.95087719298245599</v>
      </c>
      <c r="D44" s="4">
        <f t="shared" si="2"/>
        <v>0.78778386844166004</v>
      </c>
      <c r="E44" s="4">
        <f t="shared" si="2"/>
        <v>0.77657591690481198</v>
      </c>
      <c r="F44" s="4">
        <f t="shared" si="2"/>
        <v>0.55876666327465097</v>
      </c>
      <c r="J44" s="9" t="s">
        <v>54</v>
      </c>
      <c r="K44" s="4">
        <f>MAX(K26:K43)</f>
        <v>0.71145685997171104</v>
      </c>
      <c r="L44" s="4">
        <f t="shared" ref="L44:O44" si="3">MAX(L26:L43)</f>
        <v>0.95087719298245599</v>
      </c>
      <c r="M44" s="4">
        <f t="shared" si="3"/>
        <v>0.79090242112985998</v>
      </c>
      <c r="N44" s="4">
        <f t="shared" si="3"/>
        <v>0.77657591690481198</v>
      </c>
      <c r="O44" s="4">
        <f t="shared" si="3"/>
        <v>0.55876666327465097</v>
      </c>
    </row>
    <row r="46" spans="1:15" x14ac:dyDescent="0.25">
      <c r="A46" s="10" t="s">
        <v>21</v>
      </c>
      <c r="B46" s="10"/>
      <c r="C46" s="10"/>
      <c r="D46" s="10"/>
      <c r="E46" s="10"/>
      <c r="F46" s="10"/>
      <c r="J46" s="10" t="s">
        <v>21</v>
      </c>
      <c r="K46" s="10"/>
      <c r="L46" s="10"/>
      <c r="M46" s="10"/>
      <c r="N46" s="10"/>
      <c r="O46" s="10"/>
    </row>
    <row r="47" spans="1:15" x14ac:dyDescent="0.25">
      <c r="A47" s="8" t="s">
        <v>0</v>
      </c>
      <c r="B47" s="6" t="s">
        <v>16</v>
      </c>
      <c r="C47" s="6" t="s">
        <v>17</v>
      </c>
      <c r="D47" s="6" t="s">
        <v>19</v>
      </c>
      <c r="E47" s="6" t="s">
        <v>18</v>
      </c>
      <c r="F47" s="6" t="s">
        <v>20</v>
      </c>
      <c r="J47" s="8" t="s">
        <v>0</v>
      </c>
      <c r="K47" s="6" t="s">
        <v>16</v>
      </c>
      <c r="L47" s="6" t="s">
        <v>17</v>
      </c>
      <c r="M47" s="6" t="s">
        <v>19</v>
      </c>
      <c r="N47" s="6" t="s">
        <v>18</v>
      </c>
      <c r="O47" s="6" t="s">
        <v>20</v>
      </c>
    </row>
    <row r="48" spans="1:15" x14ac:dyDescent="0.25">
      <c r="A48" s="8" t="s">
        <v>1</v>
      </c>
      <c r="B48" s="7">
        <v>0.83955223880596996</v>
      </c>
      <c r="C48" s="7">
        <v>0.84586466165413499</v>
      </c>
      <c r="D48" s="7">
        <v>0.84269662921348298</v>
      </c>
      <c r="E48" s="7">
        <v>0.76954108569107804</v>
      </c>
      <c r="F48" s="7">
        <v>0.53909465020576097</v>
      </c>
      <c r="J48" s="8" t="s">
        <v>1</v>
      </c>
      <c r="K48" s="5">
        <v>0.83955223880596996</v>
      </c>
      <c r="L48" s="5">
        <v>0.84586466165413499</v>
      </c>
      <c r="M48" s="5">
        <v>0.84269662921348298</v>
      </c>
      <c r="N48" s="5">
        <v>0.76954108569107804</v>
      </c>
      <c r="O48" s="5">
        <v>0.53909465020576097</v>
      </c>
    </row>
    <row r="49" spans="1:15" x14ac:dyDescent="0.25">
      <c r="A49" s="8" t="s">
        <v>2</v>
      </c>
      <c r="B49" s="7">
        <v>0.84379001280409704</v>
      </c>
      <c r="C49" s="7">
        <v>0.825814536340852</v>
      </c>
      <c r="D49" s="7">
        <v>0.83470550981633895</v>
      </c>
      <c r="E49" s="7">
        <v>0.76436330590465196</v>
      </c>
      <c r="F49" s="7">
        <v>0.52882771070743495</v>
      </c>
      <c r="J49" s="8" t="s">
        <v>2</v>
      </c>
      <c r="K49" s="5">
        <v>0.84203821656050903</v>
      </c>
      <c r="L49" s="5">
        <v>0.82832080200501201</v>
      </c>
      <c r="M49" s="5">
        <v>0.83512318382817397</v>
      </c>
      <c r="N49" s="5">
        <v>0.76385134456426296</v>
      </c>
      <c r="O49" s="5">
        <v>0.52776207169512601</v>
      </c>
    </row>
    <row r="50" spans="1:15" x14ac:dyDescent="0.25">
      <c r="A50" s="8" t="s">
        <v>3</v>
      </c>
      <c r="B50" s="7">
        <v>0.84840425531914898</v>
      </c>
      <c r="C50" s="7">
        <v>0.79949874686716704</v>
      </c>
      <c r="D50" s="7">
        <v>0.82322580645161203</v>
      </c>
      <c r="E50" s="7">
        <v>0.75628410503986498</v>
      </c>
      <c r="F50" s="7">
        <v>0.51332149200710397</v>
      </c>
      <c r="J50" s="8" t="s">
        <v>3</v>
      </c>
      <c r="K50" s="5">
        <v>0.84880636604774495</v>
      </c>
      <c r="L50" s="5">
        <v>0.80200501253132805</v>
      </c>
      <c r="M50" s="5">
        <v>0.82474226804123696</v>
      </c>
      <c r="N50" s="5">
        <v>0.75782567947516399</v>
      </c>
      <c r="O50" s="5">
        <v>0.51633696376972604</v>
      </c>
    </row>
    <row r="51" spans="1:15" x14ac:dyDescent="0.25">
      <c r="A51" s="8" t="s">
        <v>4</v>
      </c>
      <c r="B51" s="7">
        <v>0.84659746251441703</v>
      </c>
      <c r="C51" s="6">
        <v>0.91979949874686695</v>
      </c>
      <c r="D51" s="7">
        <v>0.88168168168168104</v>
      </c>
      <c r="E51" s="7">
        <v>0.81241841580824603</v>
      </c>
      <c r="F51" s="7">
        <v>0.62623028578204598</v>
      </c>
      <c r="J51" s="8" t="s">
        <v>4</v>
      </c>
      <c r="K51" s="5">
        <v>0.84659746251441703</v>
      </c>
      <c r="L51" s="4">
        <v>0.91979949874686695</v>
      </c>
      <c r="M51" s="5">
        <v>0.88168168168168104</v>
      </c>
      <c r="N51" s="5">
        <v>0.81241841580824603</v>
      </c>
      <c r="O51" s="5">
        <v>0.62623028578204598</v>
      </c>
    </row>
    <row r="52" spans="1:15" x14ac:dyDescent="0.25">
      <c r="A52" s="8" t="s">
        <v>5</v>
      </c>
      <c r="B52" s="7">
        <v>0.79856115107913594</v>
      </c>
      <c r="C52" s="7">
        <v>0.55639097744360899</v>
      </c>
      <c r="D52" s="7">
        <v>0.65583456425406195</v>
      </c>
      <c r="E52" s="7">
        <v>0.61177628027174302</v>
      </c>
      <c r="F52" s="7">
        <v>0.25350420504605498</v>
      </c>
      <c r="J52" s="8" t="s">
        <v>5</v>
      </c>
      <c r="K52" s="5">
        <v>0.79856115107913594</v>
      </c>
      <c r="L52" s="5">
        <v>0.55639097744360899</v>
      </c>
      <c r="M52" s="5">
        <v>0.65583456425406195</v>
      </c>
      <c r="N52" s="5">
        <v>0.61177628027174302</v>
      </c>
      <c r="O52" s="5">
        <v>0.25350420504605498</v>
      </c>
    </row>
    <row r="53" spans="1:15" x14ac:dyDescent="0.25">
      <c r="A53" s="8" t="s">
        <v>6</v>
      </c>
      <c r="B53" s="7">
        <v>0.81639928698752195</v>
      </c>
      <c r="C53" s="7">
        <v>0.57393483709273097</v>
      </c>
      <c r="D53" s="7">
        <v>0.67402501839587903</v>
      </c>
      <c r="E53" s="7">
        <v>0.63058194069840501</v>
      </c>
      <c r="F53" s="7">
        <v>0.28856770049181901</v>
      </c>
      <c r="J53" s="8" t="s">
        <v>6</v>
      </c>
      <c r="K53" s="5">
        <v>0.81639928698752195</v>
      </c>
      <c r="L53" s="5">
        <v>0.57393483709273097</v>
      </c>
      <c r="M53" s="5">
        <v>0.67402501839587903</v>
      </c>
      <c r="N53" s="5">
        <v>0.63058194069840501</v>
      </c>
      <c r="O53" s="5">
        <v>0.28856770049181901</v>
      </c>
    </row>
    <row r="54" spans="1:15" x14ac:dyDescent="0.25">
      <c r="A54" s="8" t="s">
        <v>7</v>
      </c>
      <c r="B54" s="7">
        <v>0.85303030303030303</v>
      </c>
      <c r="C54" s="7">
        <v>0.70551378446115198</v>
      </c>
      <c r="D54" s="7">
        <v>0.772290809327846</v>
      </c>
      <c r="E54" s="7">
        <v>0.715714193164949</v>
      </c>
      <c r="F54" s="7">
        <v>0.43895226024503498</v>
      </c>
      <c r="J54" s="8" t="s">
        <v>7</v>
      </c>
      <c r="K54" s="5">
        <v>0.85303030303030303</v>
      </c>
      <c r="L54" s="5">
        <v>0.70551378446115198</v>
      </c>
      <c r="M54" s="5">
        <v>0.772290809327846</v>
      </c>
      <c r="N54" s="5">
        <v>0.715714193164949</v>
      </c>
      <c r="O54" s="5">
        <v>0.43895226024503498</v>
      </c>
    </row>
    <row r="55" spans="1:15" x14ac:dyDescent="0.25">
      <c r="A55" s="8" t="s">
        <v>8</v>
      </c>
      <c r="B55" s="7">
        <v>0.84910179640718497</v>
      </c>
      <c r="C55" s="7">
        <v>0.88847117794486197</v>
      </c>
      <c r="D55" s="7">
        <v>0.86834047764849898</v>
      </c>
      <c r="E55" s="7">
        <v>0.79962705985053195</v>
      </c>
      <c r="F55" s="7">
        <v>0.59967415338065799</v>
      </c>
      <c r="J55" s="8" t="s">
        <v>8</v>
      </c>
      <c r="K55" s="5">
        <v>0.84946236559139698</v>
      </c>
      <c r="L55" s="5">
        <v>0.89097744360902198</v>
      </c>
      <c r="M55" s="5">
        <v>0.86972477064220099</v>
      </c>
      <c r="N55" s="5">
        <v>0.80123628745409903</v>
      </c>
      <c r="O55" s="5">
        <v>0.60293603635092596</v>
      </c>
    </row>
    <row r="56" spans="1:15" x14ac:dyDescent="0.25">
      <c r="A56" s="8" t="s">
        <v>9</v>
      </c>
      <c r="B56" s="7">
        <v>0.86445783132530096</v>
      </c>
      <c r="C56" s="7">
        <v>0.71929824561403499</v>
      </c>
      <c r="D56" s="7">
        <v>0.78522571819425402</v>
      </c>
      <c r="E56" s="7">
        <v>0.73075718899403397</v>
      </c>
      <c r="F56" s="7">
        <v>0.46824724809483398</v>
      </c>
      <c r="J56" s="8" t="s">
        <v>9</v>
      </c>
      <c r="K56" s="5">
        <v>0.86445783132530096</v>
      </c>
      <c r="L56" s="5">
        <v>0.71929824561403499</v>
      </c>
      <c r="M56" s="5">
        <v>0.78522571819425402</v>
      </c>
      <c r="N56" s="5">
        <v>0.73075718899403397</v>
      </c>
      <c r="O56" s="5">
        <v>0.46824724809483398</v>
      </c>
    </row>
    <row r="57" spans="1:15" x14ac:dyDescent="0.25">
      <c r="A57" s="8" t="s">
        <v>10</v>
      </c>
      <c r="B57" s="7">
        <v>0.873417721518987</v>
      </c>
      <c r="C57" s="7">
        <v>0.69172932330826997</v>
      </c>
      <c r="D57" s="7">
        <v>0.77202797202797202</v>
      </c>
      <c r="E57" s="7">
        <v>0.72333933531538297</v>
      </c>
      <c r="F57" s="7">
        <v>0.45711906744379599</v>
      </c>
      <c r="J57" s="8" t="s">
        <v>10</v>
      </c>
      <c r="K57" s="5">
        <v>0.873417721518987</v>
      </c>
      <c r="L57" s="5">
        <v>0.69172932330826997</v>
      </c>
      <c r="M57" s="5">
        <v>0.77202797202797202</v>
      </c>
      <c r="N57" s="5">
        <v>0.72333933531538297</v>
      </c>
      <c r="O57" s="5">
        <v>0.45711906744379599</v>
      </c>
    </row>
    <row r="58" spans="1:15" x14ac:dyDescent="0.25">
      <c r="A58" s="8" t="s">
        <v>11</v>
      </c>
      <c r="B58" s="7">
        <v>0.87194244604316495</v>
      </c>
      <c r="C58" s="7">
        <v>0.75939849624060096</v>
      </c>
      <c r="D58" s="7">
        <v>0.81178834561285995</v>
      </c>
      <c r="E58" s="7">
        <v>0.75626690976063604</v>
      </c>
      <c r="F58" s="7">
        <v>0.51619498547293596</v>
      </c>
      <c r="J58" s="8" t="s">
        <v>11</v>
      </c>
      <c r="K58" s="5">
        <v>0.87194244604316495</v>
      </c>
      <c r="L58" s="5">
        <v>0.75939849624060096</v>
      </c>
      <c r="M58" s="5">
        <v>0.81178834561285995</v>
      </c>
      <c r="N58" s="5">
        <v>0.75626690976063604</v>
      </c>
      <c r="O58" s="5">
        <v>0.51619498547293596</v>
      </c>
    </row>
    <row r="59" spans="1:15" x14ac:dyDescent="0.25">
      <c r="A59" s="8" t="s">
        <v>12</v>
      </c>
      <c r="B59" s="7">
        <v>0.84059633027522895</v>
      </c>
      <c r="C59" s="7">
        <v>0.918546365914787</v>
      </c>
      <c r="D59" s="7">
        <v>0.87784431137724495</v>
      </c>
      <c r="E59" s="7">
        <v>0.80506388797208694</v>
      </c>
      <c r="F59" s="7">
        <v>0.61179828734538499</v>
      </c>
      <c r="J59" s="8" t="s">
        <v>12</v>
      </c>
      <c r="K59" s="5">
        <v>0.84059633027522895</v>
      </c>
      <c r="L59" s="5">
        <v>0.918546365914787</v>
      </c>
      <c r="M59" s="5">
        <v>0.87784431137724495</v>
      </c>
      <c r="N59" s="5">
        <v>0.80506388797208694</v>
      </c>
      <c r="O59" s="5">
        <v>0.61179828734538499</v>
      </c>
    </row>
    <row r="60" spans="1:15" x14ac:dyDescent="0.25">
      <c r="A60" s="8" t="s">
        <v>13</v>
      </c>
      <c r="B60" s="7">
        <v>0.88684582743988605</v>
      </c>
      <c r="C60" s="7">
        <v>0.78571428571428503</v>
      </c>
      <c r="D60" s="7">
        <v>0.83322259136212595</v>
      </c>
      <c r="E60" s="7">
        <v>0.78122833990975704</v>
      </c>
      <c r="F60" s="7">
        <v>0.56503844904148104</v>
      </c>
      <c r="J60" s="8" t="s">
        <v>13</v>
      </c>
      <c r="K60" s="5">
        <v>0.88684582743988605</v>
      </c>
      <c r="L60" s="5">
        <v>0.78571428571428503</v>
      </c>
      <c r="M60" s="5">
        <v>0.83322259136212595</v>
      </c>
      <c r="N60" s="5">
        <v>0.78122833990975704</v>
      </c>
      <c r="O60" s="5">
        <v>0.56503844904148104</v>
      </c>
    </row>
    <row r="61" spans="1:15" x14ac:dyDescent="0.25">
      <c r="A61" s="8" t="s">
        <v>14</v>
      </c>
      <c r="B61" s="7">
        <v>0.81669150521609502</v>
      </c>
      <c r="C61" s="7">
        <v>0.68671679197994895</v>
      </c>
      <c r="D61" s="7">
        <v>0.74608577263444498</v>
      </c>
      <c r="E61" s="7">
        <v>0.67937725807215499</v>
      </c>
      <c r="F61" s="7">
        <v>0.36598321470306999</v>
      </c>
      <c r="J61" s="8" t="s">
        <v>14</v>
      </c>
      <c r="K61" s="5">
        <v>0.81313868613138596</v>
      </c>
      <c r="L61" s="5">
        <v>0.69799498746867095</v>
      </c>
      <c r="M61" s="5">
        <v>0.75118004045853004</v>
      </c>
      <c r="N61" s="5">
        <v>0.68117484636203596</v>
      </c>
      <c r="O61" s="5">
        <v>0.36808305683399301</v>
      </c>
    </row>
    <row r="62" spans="1:15" x14ac:dyDescent="0.25">
      <c r="A62" s="8" t="s">
        <v>15</v>
      </c>
      <c r="B62" s="7">
        <v>0.84673366834170805</v>
      </c>
      <c r="C62" s="7">
        <v>0.84461152882205504</v>
      </c>
      <c r="D62" s="7">
        <v>0.84567126725219499</v>
      </c>
      <c r="E62" s="7">
        <v>0.77605759066667002</v>
      </c>
      <c r="F62" s="7">
        <v>0.55211652253072296</v>
      </c>
      <c r="J62" s="8" t="s">
        <v>15</v>
      </c>
      <c r="K62" s="5">
        <v>0.84673366834170805</v>
      </c>
      <c r="L62" s="5">
        <v>0.84461152882205504</v>
      </c>
      <c r="M62" s="5">
        <v>0.84567126725219499</v>
      </c>
      <c r="N62" s="5">
        <v>0.77605759066667002</v>
      </c>
      <c r="O62" s="5">
        <v>0.55211652253072296</v>
      </c>
    </row>
    <row r="63" spans="1:15" x14ac:dyDescent="0.25">
      <c r="A63" s="8" t="s">
        <v>51</v>
      </c>
      <c r="B63" s="6">
        <v>0.91259259259259196</v>
      </c>
      <c r="C63" s="7">
        <v>0.77192982456140302</v>
      </c>
      <c r="D63" s="7">
        <v>0.83638832315003397</v>
      </c>
      <c r="E63" s="7">
        <v>0.79254244103278504</v>
      </c>
      <c r="F63" s="7">
        <v>0.58948152879804105</v>
      </c>
      <c r="J63" s="8" t="s">
        <v>51</v>
      </c>
      <c r="K63" s="4">
        <v>0.91259259259259196</v>
      </c>
      <c r="L63" s="5">
        <v>0.77192982456140302</v>
      </c>
      <c r="M63" s="5">
        <v>0.83638832315003397</v>
      </c>
      <c r="N63" s="5">
        <v>0.79254244103278504</v>
      </c>
      <c r="O63" s="5">
        <v>0.58948152879804105</v>
      </c>
    </row>
    <row r="64" spans="1:15" x14ac:dyDescent="0.25">
      <c r="A64" s="8" t="s">
        <v>52</v>
      </c>
      <c r="B64" s="7">
        <v>0.89199491740787795</v>
      </c>
      <c r="C64" s="7">
        <v>0.87969924812029998</v>
      </c>
      <c r="D64" s="6">
        <v>0.88580441640378504</v>
      </c>
      <c r="E64" s="6">
        <v>0.83605451044510404</v>
      </c>
      <c r="F64" s="6">
        <v>0.67213857126683996</v>
      </c>
      <c r="J64" s="8" t="s">
        <v>52</v>
      </c>
      <c r="K64" s="5">
        <v>0.89155107187894</v>
      </c>
      <c r="L64" s="5">
        <v>0.88596491228070096</v>
      </c>
      <c r="M64" s="4">
        <v>0.88874921433060905</v>
      </c>
      <c r="N64" s="4">
        <v>0.83914274034009595</v>
      </c>
      <c r="O64" s="4">
        <v>0.67829149153697599</v>
      </c>
    </row>
    <row r="65" spans="1:15" x14ac:dyDescent="0.25">
      <c r="A65" s="8" t="s">
        <v>53</v>
      </c>
      <c r="B65" s="7">
        <v>0.87735849056603699</v>
      </c>
      <c r="C65" s="7">
        <v>0.58270676691729295</v>
      </c>
      <c r="D65" s="7">
        <v>0.70030120481927705</v>
      </c>
      <c r="E65" s="7">
        <v>0.66989697922123204</v>
      </c>
      <c r="F65" s="7">
        <v>0.37062660604862602</v>
      </c>
      <c r="J65" s="8" t="s">
        <v>53</v>
      </c>
      <c r="K65" s="5">
        <v>0.88051470588235203</v>
      </c>
      <c r="L65" s="5">
        <v>0.60025062656641603</v>
      </c>
      <c r="M65" s="5">
        <v>0.713859910581222</v>
      </c>
      <c r="N65" s="5">
        <v>0.68078316629978497</v>
      </c>
      <c r="O65" s="5">
        <v>0.38853503184713301</v>
      </c>
    </row>
    <row r="66" spans="1:15" x14ac:dyDescent="0.25">
      <c r="A66" s="9" t="s">
        <v>54</v>
      </c>
      <c r="B66" s="4">
        <f>MAX(B48:B65)</f>
        <v>0.91259259259259196</v>
      </c>
      <c r="C66" s="4">
        <f t="shared" ref="C66:F66" si="4">MAX(C48:C65)</f>
        <v>0.91979949874686695</v>
      </c>
      <c r="D66" s="4">
        <f t="shared" si="4"/>
        <v>0.88580441640378504</v>
      </c>
      <c r="E66" s="4">
        <f t="shared" si="4"/>
        <v>0.83605451044510404</v>
      </c>
      <c r="F66" s="4">
        <f t="shared" si="4"/>
        <v>0.67213857126683996</v>
      </c>
      <c r="J66" s="9" t="s">
        <v>54</v>
      </c>
      <c r="K66" s="4">
        <f>MAX(K48:K65)</f>
        <v>0.91259259259259196</v>
      </c>
      <c r="L66" s="4">
        <f t="shared" ref="L66:O66" si="5">MAX(L48:L65)</f>
        <v>0.91979949874686695</v>
      </c>
      <c r="M66" s="4">
        <f t="shared" si="5"/>
        <v>0.88874921433060905</v>
      </c>
      <c r="N66" s="4">
        <f t="shared" si="5"/>
        <v>0.83914274034009595</v>
      </c>
      <c r="O66" s="4">
        <f t="shared" si="5"/>
        <v>0.67829149153697599</v>
      </c>
    </row>
  </sheetData>
  <mergeCells count="8">
    <mergeCell ref="A2:F2"/>
    <mergeCell ref="A24:F24"/>
    <mergeCell ref="A46:F46"/>
    <mergeCell ref="A1:F1"/>
    <mergeCell ref="J2:O2"/>
    <mergeCell ref="J24:O24"/>
    <mergeCell ref="J46:O46"/>
    <mergeCell ref="J1:O1"/>
  </mergeCells>
  <conditionalFormatting sqref="B2:F1048576">
    <cfRule type="colorScale" priority="2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K2:O66">
    <cfRule type="colorScale" priority="1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CBC17-39A9-4D61-99CF-DD2438BA63A7}">
  <dimension ref="A1:O69"/>
  <sheetViews>
    <sheetView topLeftCell="A40" zoomScaleNormal="100" workbookViewId="0">
      <selection activeCell="M50" sqref="M50:M68"/>
    </sheetView>
  </sheetViews>
  <sheetFormatPr defaultRowHeight="15" x14ac:dyDescent="0.25"/>
  <cols>
    <col min="1" max="1" width="23.85546875" style="2" customWidth="1"/>
    <col min="2" max="2" width="19.140625" style="5" customWidth="1"/>
    <col min="3" max="3" width="20.7109375" style="5" customWidth="1"/>
    <col min="4" max="4" width="15.7109375" style="5" customWidth="1"/>
    <col min="5" max="5" width="16.28515625" style="5" customWidth="1"/>
    <col min="6" max="6" width="19.42578125" style="5" customWidth="1"/>
    <col min="7" max="8" width="9.140625" style="5"/>
    <col min="9" max="9" width="18.7109375" style="5" customWidth="1"/>
    <col min="10" max="10" width="23.85546875" style="5" customWidth="1"/>
    <col min="11" max="11" width="20.140625" style="5" customWidth="1"/>
    <col min="12" max="12" width="19" style="5" customWidth="1"/>
    <col min="13" max="13" width="17.28515625" style="5" customWidth="1"/>
    <col min="14" max="14" width="15" style="5" customWidth="1"/>
    <col min="15" max="15" width="15.42578125" style="5" customWidth="1"/>
  </cols>
  <sheetData>
    <row r="1" spans="1:15" x14ac:dyDescent="0.25">
      <c r="A1" s="11" t="s">
        <v>55</v>
      </c>
      <c r="B1" s="11"/>
      <c r="C1" s="11"/>
      <c r="D1" s="11"/>
      <c r="E1" s="11"/>
      <c r="F1" s="11"/>
      <c r="I1" s="16" t="s">
        <v>57</v>
      </c>
      <c r="J1" s="16"/>
      <c r="K1" s="16"/>
      <c r="L1" s="16"/>
      <c r="M1" s="16"/>
      <c r="N1" s="16"/>
    </row>
    <row r="2" spans="1:15" x14ac:dyDescent="0.25">
      <c r="A2" s="11" t="s">
        <v>23</v>
      </c>
      <c r="B2" s="11"/>
      <c r="C2" s="11"/>
      <c r="D2" s="11"/>
      <c r="E2" s="11"/>
      <c r="F2" s="11"/>
      <c r="I2" s="11" t="s">
        <v>23</v>
      </c>
      <c r="J2" s="11"/>
      <c r="K2" s="11"/>
      <c r="L2" s="11"/>
      <c r="M2" s="11"/>
      <c r="N2" s="11"/>
      <c r="O2" s="4"/>
    </row>
    <row r="3" spans="1:15" x14ac:dyDescent="0.25">
      <c r="A3" s="1" t="s">
        <v>24</v>
      </c>
      <c r="B3" s="4" t="s">
        <v>16</v>
      </c>
      <c r="C3" s="4" t="s">
        <v>17</v>
      </c>
      <c r="D3" s="4" t="s">
        <v>19</v>
      </c>
      <c r="E3" s="4" t="s">
        <v>18</v>
      </c>
      <c r="F3" s="4" t="s">
        <v>20</v>
      </c>
      <c r="I3" s="1" t="s">
        <v>24</v>
      </c>
      <c r="J3" s="4" t="s">
        <v>16</v>
      </c>
      <c r="K3" s="4" t="s">
        <v>17</v>
      </c>
      <c r="L3" s="4" t="s">
        <v>19</v>
      </c>
      <c r="M3" s="4" t="s">
        <v>18</v>
      </c>
      <c r="N3" s="4" t="s">
        <v>20</v>
      </c>
      <c r="O3" s="4"/>
    </row>
    <row r="4" spans="1:15" x14ac:dyDescent="0.25">
      <c r="A4" s="1" t="s">
        <v>25</v>
      </c>
      <c r="B4" s="5">
        <v>0.96363636363636296</v>
      </c>
      <c r="C4" s="5">
        <v>1</v>
      </c>
      <c r="D4" s="5">
        <v>0.98148148148148096</v>
      </c>
      <c r="E4" s="5">
        <v>0.94074074074073999</v>
      </c>
      <c r="F4" s="5">
        <v>0.88170055452865004</v>
      </c>
      <c r="I4" s="1" t="s">
        <v>25</v>
      </c>
      <c r="J4" s="5">
        <v>0.96363636363636296</v>
      </c>
      <c r="K4" s="5">
        <v>1</v>
      </c>
      <c r="L4" s="5">
        <v>0.98148148148148096</v>
      </c>
      <c r="M4" s="5">
        <v>0.94074074074073999</v>
      </c>
      <c r="N4" s="5">
        <v>0.88170055452865004</v>
      </c>
    </row>
    <row r="5" spans="1:15" x14ac:dyDescent="0.25">
      <c r="A5" s="1" t="s">
        <v>26</v>
      </c>
      <c r="B5" s="5">
        <v>0.28571428571428498</v>
      </c>
      <c r="C5" s="5">
        <v>0.66666666666666596</v>
      </c>
      <c r="D5" s="5">
        <v>0.4</v>
      </c>
      <c r="E5" s="5">
        <v>0.60816326530612197</v>
      </c>
      <c r="F5" s="5">
        <v>0.25291828793774301</v>
      </c>
      <c r="I5" s="1" t="s">
        <v>26</v>
      </c>
      <c r="J5" s="5">
        <v>0.28571428571428498</v>
      </c>
      <c r="K5" s="5">
        <v>0.66666666666666596</v>
      </c>
      <c r="L5" s="5">
        <v>0.4</v>
      </c>
      <c r="M5" s="5">
        <v>0.60816326530612197</v>
      </c>
      <c r="N5" s="5">
        <v>0.25291828793774301</v>
      </c>
    </row>
    <row r="6" spans="1:15" x14ac:dyDescent="0.25">
      <c r="A6" s="1" t="s">
        <v>27</v>
      </c>
      <c r="B6" s="5">
        <v>0.8</v>
      </c>
      <c r="C6" s="5">
        <v>0.66666666666666596</v>
      </c>
      <c r="D6" s="5">
        <v>0.72727272727272696</v>
      </c>
      <c r="E6" s="5">
        <v>0.81626794258373203</v>
      </c>
      <c r="F6" s="5">
        <v>0.63358778625954204</v>
      </c>
      <c r="I6" s="1" t="s">
        <v>27</v>
      </c>
      <c r="J6" s="5">
        <v>0.8</v>
      </c>
      <c r="K6" s="5">
        <v>0.66666666666666596</v>
      </c>
      <c r="L6" s="5">
        <v>0.72727272727272696</v>
      </c>
      <c r="M6" s="5">
        <v>0.81626794258373203</v>
      </c>
      <c r="N6" s="5">
        <v>0.63358778625954204</v>
      </c>
    </row>
    <row r="7" spans="1:15" x14ac:dyDescent="0.25">
      <c r="A7" s="1" t="s">
        <v>28</v>
      </c>
      <c r="B7" s="5">
        <v>0.83673469387755095</v>
      </c>
      <c r="C7" s="5">
        <v>1</v>
      </c>
      <c r="D7" s="5">
        <v>0.91111111111111098</v>
      </c>
      <c r="E7" s="5">
        <v>0.85029239766081799</v>
      </c>
      <c r="F7" s="5">
        <v>0.70608495981630304</v>
      </c>
      <c r="I7" s="1" t="s">
        <v>28</v>
      </c>
      <c r="J7" s="5">
        <v>0.83673469387755095</v>
      </c>
      <c r="K7" s="5">
        <v>1</v>
      </c>
      <c r="L7" s="5">
        <v>0.91111111111111098</v>
      </c>
      <c r="M7" s="5">
        <v>0.85029239766081799</v>
      </c>
      <c r="N7" s="5">
        <v>0.70608495981630304</v>
      </c>
    </row>
    <row r="8" spans="1:15" x14ac:dyDescent="0.25">
      <c r="A8" s="1" t="s">
        <v>29</v>
      </c>
      <c r="B8" s="5">
        <v>0.84375</v>
      </c>
      <c r="C8" s="5">
        <v>0.96428571428571397</v>
      </c>
      <c r="D8" s="5">
        <v>0.9</v>
      </c>
      <c r="E8" s="5">
        <v>0.90588235294117603</v>
      </c>
      <c r="F8" s="5">
        <v>0.8125</v>
      </c>
      <c r="I8" s="1" t="s">
        <v>29</v>
      </c>
      <c r="J8" s="5">
        <v>0.84375</v>
      </c>
      <c r="K8" s="5">
        <v>0.96428571428571397</v>
      </c>
      <c r="L8" s="5">
        <v>0.9</v>
      </c>
      <c r="M8" s="5">
        <v>0.90588235294117603</v>
      </c>
      <c r="N8" s="5">
        <v>0.8125</v>
      </c>
    </row>
    <row r="9" spans="1:15" x14ac:dyDescent="0.25">
      <c r="A9" s="1" t="s">
        <v>30</v>
      </c>
      <c r="B9" s="5">
        <v>0.9375</v>
      </c>
      <c r="C9" s="5">
        <v>0.88235294117647001</v>
      </c>
      <c r="D9" s="5">
        <v>0.90909090909090895</v>
      </c>
      <c r="E9" s="5">
        <v>0.79937304075235105</v>
      </c>
      <c r="F9" s="5">
        <v>0.6</v>
      </c>
      <c r="I9" s="1" t="s">
        <v>30</v>
      </c>
      <c r="J9" s="5">
        <v>0.9375</v>
      </c>
      <c r="K9" s="5">
        <v>0.88235294117647001</v>
      </c>
      <c r="L9" s="5">
        <v>0.90909090909090895</v>
      </c>
      <c r="M9" s="5">
        <v>0.79937304075235105</v>
      </c>
      <c r="N9" s="5">
        <v>0.6</v>
      </c>
    </row>
    <row r="10" spans="1:15" x14ac:dyDescent="0.25">
      <c r="A10" s="1" t="s">
        <v>31</v>
      </c>
      <c r="B10" s="5">
        <v>0.95348837209302295</v>
      </c>
      <c r="C10" s="5">
        <v>0.80392156862745101</v>
      </c>
      <c r="D10" s="5">
        <v>0.87234042553191404</v>
      </c>
      <c r="E10" s="5">
        <v>0.75969962453066298</v>
      </c>
      <c r="F10" s="5">
        <v>0.52883435582822003</v>
      </c>
      <c r="I10" s="1" t="s">
        <v>31</v>
      </c>
      <c r="J10" s="5">
        <v>0.95348837209302295</v>
      </c>
      <c r="K10" s="5">
        <v>0.80392156862745101</v>
      </c>
      <c r="L10" s="5">
        <v>0.87234042553191404</v>
      </c>
      <c r="M10" s="5">
        <v>0.75969962453066298</v>
      </c>
      <c r="N10" s="5">
        <v>0.52883435582822003</v>
      </c>
    </row>
    <row r="11" spans="1:15" x14ac:dyDescent="0.25">
      <c r="A11" s="1" t="s">
        <v>32</v>
      </c>
      <c r="B11" s="5">
        <v>0.98076923076922995</v>
      </c>
      <c r="C11" s="5">
        <v>0.98076923076922995</v>
      </c>
      <c r="D11" s="5">
        <v>0.98076923076922995</v>
      </c>
      <c r="E11" s="5">
        <v>0.94871794871794801</v>
      </c>
      <c r="F11" s="5">
        <v>0.89743589743589702</v>
      </c>
      <c r="I11" s="1" t="s">
        <v>32</v>
      </c>
      <c r="J11" s="5">
        <v>0.98076923076922995</v>
      </c>
      <c r="K11" s="5">
        <v>0.98076923076922995</v>
      </c>
      <c r="L11" s="5">
        <v>0.98076923076922995</v>
      </c>
      <c r="M11" s="5">
        <v>0.94871794871794801</v>
      </c>
      <c r="N11" s="5">
        <v>0.89743589743589702</v>
      </c>
    </row>
    <row r="12" spans="1:15" x14ac:dyDescent="0.25">
      <c r="A12" s="1" t="s">
        <v>33</v>
      </c>
      <c r="B12" s="5">
        <v>0.72093023255813904</v>
      </c>
      <c r="C12" s="5">
        <v>0.81578947368420995</v>
      </c>
      <c r="D12" s="5">
        <v>0.76543209876543195</v>
      </c>
      <c r="E12" s="5">
        <v>0.68058838980824699</v>
      </c>
      <c r="F12" s="5">
        <v>0.36534446764091799</v>
      </c>
      <c r="I12" s="1" t="s">
        <v>33</v>
      </c>
      <c r="J12" s="5">
        <v>0.72093023255813904</v>
      </c>
      <c r="K12" s="5">
        <v>0.81578947368420995</v>
      </c>
      <c r="L12" s="5">
        <v>0.76543209876543195</v>
      </c>
      <c r="M12" s="5">
        <v>0.68058838980824699</v>
      </c>
      <c r="N12" s="5">
        <v>0.36534446764091799</v>
      </c>
    </row>
    <row r="13" spans="1:15" x14ac:dyDescent="0.25">
      <c r="A13" s="1" t="s">
        <v>34</v>
      </c>
      <c r="B13" s="5">
        <v>1</v>
      </c>
      <c r="C13" s="5">
        <v>0.97959183673469297</v>
      </c>
      <c r="D13" s="5">
        <v>0.98969072164948402</v>
      </c>
      <c r="E13" s="5">
        <v>0.97871632856667701</v>
      </c>
      <c r="F13" s="5">
        <v>0.95744680851063801</v>
      </c>
      <c r="I13" s="1" t="s">
        <v>34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</row>
    <row r="14" spans="1:15" x14ac:dyDescent="0.25">
      <c r="A14" s="1" t="s">
        <v>35</v>
      </c>
      <c r="B14" s="5">
        <v>1</v>
      </c>
      <c r="C14" s="5">
        <v>0.98039215686274495</v>
      </c>
      <c r="D14" s="5">
        <v>0.99009900990098998</v>
      </c>
      <c r="E14" s="5">
        <v>0.976530986431976</v>
      </c>
      <c r="F14" s="5">
        <v>0.95307917888562999</v>
      </c>
      <c r="I14" s="1" t="s">
        <v>35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</row>
    <row r="15" spans="1:15" x14ac:dyDescent="0.25">
      <c r="A15" s="1" t="s">
        <v>36</v>
      </c>
      <c r="B15" s="5">
        <v>0.52272727272727204</v>
      </c>
      <c r="C15" s="5">
        <v>0.85185185185185097</v>
      </c>
      <c r="D15" s="5">
        <v>0.647887323943662</v>
      </c>
      <c r="E15" s="5">
        <v>0.60464541635779501</v>
      </c>
      <c r="F15" s="5">
        <v>0.26199261992619899</v>
      </c>
      <c r="I15" s="1" t="s">
        <v>36</v>
      </c>
      <c r="J15" s="5">
        <v>0.53333333333333299</v>
      </c>
      <c r="K15" s="5">
        <v>0.88888888888888795</v>
      </c>
      <c r="L15" s="5">
        <v>0.66666666666666596</v>
      </c>
      <c r="M15" s="5">
        <v>0.61904761904761896</v>
      </c>
      <c r="N15" s="5">
        <v>0.29476584022038499</v>
      </c>
    </row>
    <row r="16" spans="1:15" x14ac:dyDescent="0.25">
      <c r="A16" s="1" t="s">
        <v>37</v>
      </c>
      <c r="B16" s="5">
        <v>1</v>
      </c>
      <c r="C16" s="5">
        <v>0.98245614035087703</v>
      </c>
      <c r="D16" s="5">
        <v>0.99115044247787598</v>
      </c>
      <c r="E16" s="5">
        <v>0.96224188790560405</v>
      </c>
      <c r="F16" s="5">
        <v>0.92452830188679203</v>
      </c>
      <c r="I16" s="1" t="s">
        <v>37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</row>
    <row r="17" spans="1:14" x14ac:dyDescent="0.25">
      <c r="A17" s="1" t="s">
        <v>38</v>
      </c>
      <c r="B17" s="5">
        <v>0.96363636363636296</v>
      </c>
      <c r="C17" s="5">
        <v>0.96363636363636296</v>
      </c>
      <c r="D17" s="5">
        <v>0.96363636363636296</v>
      </c>
      <c r="E17" s="5">
        <v>0.87070707070706999</v>
      </c>
      <c r="F17" s="5">
        <v>0.74141414141414097</v>
      </c>
      <c r="I17" s="1" t="s">
        <v>38</v>
      </c>
      <c r="J17" s="5">
        <v>0.96428571428571397</v>
      </c>
      <c r="K17" s="5">
        <v>0.98181818181818103</v>
      </c>
      <c r="L17" s="5">
        <v>0.97297297297297303</v>
      </c>
      <c r="M17" s="5">
        <v>0.89825119236883899</v>
      </c>
      <c r="N17" s="5">
        <v>0.79661016949152497</v>
      </c>
    </row>
    <row r="18" spans="1:14" x14ac:dyDescent="0.25">
      <c r="A18" s="1" t="s">
        <v>39</v>
      </c>
      <c r="B18" s="5">
        <v>0.88135593220338904</v>
      </c>
      <c r="C18" s="5">
        <v>0.98113207547169801</v>
      </c>
      <c r="D18" s="5">
        <v>0.92857142857142805</v>
      </c>
      <c r="E18" s="5">
        <v>0.71428571428571397</v>
      </c>
      <c r="F18" s="5">
        <v>0.439824945295404</v>
      </c>
      <c r="I18" s="1" t="s">
        <v>39</v>
      </c>
      <c r="J18" s="5">
        <v>0.88333333333333297</v>
      </c>
      <c r="K18" s="5">
        <v>1</v>
      </c>
      <c r="L18" s="5">
        <v>0.93805309734513198</v>
      </c>
      <c r="M18" s="5">
        <v>0.73569321533923304</v>
      </c>
      <c r="N18" s="5">
        <v>0.48623853211009099</v>
      </c>
    </row>
    <row r="19" spans="1:14" x14ac:dyDescent="0.25">
      <c r="A19" s="1" t="s">
        <v>40</v>
      </c>
      <c r="B19" s="5">
        <v>0.74545454545454504</v>
      </c>
      <c r="C19" s="5">
        <v>0.95348837209302295</v>
      </c>
      <c r="D19" s="5">
        <v>0.83673469387755095</v>
      </c>
      <c r="E19" s="5">
        <v>0.65170068027210803</v>
      </c>
      <c r="F19" s="5">
        <v>0.33592736705577098</v>
      </c>
      <c r="I19" s="1" t="s">
        <v>40</v>
      </c>
      <c r="J19" s="5">
        <v>0.74545454545454504</v>
      </c>
      <c r="K19" s="5">
        <v>0.95348837209302295</v>
      </c>
      <c r="L19" s="5">
        <v>0.83673469387755095</v>
      </c>
      <c r="M19" s="5">
        <v>0.65170068027210803</v>
      </c>
      <c r="N19" s="5">
        <v>0.33592736705577098</v>
      </c>
    </row>
    <row r="20" spans="1:14" x14ac:dyDescent="0.25">
      <c r="A20" s="1" t="s">
        <v>41</v>
      </c>
      <c r="B20" s="5">
        <v>0.94736842105263097</v>
      </c>
      <c r="C20" s="5">
        <v>1</v>
      </c>
      <c r="D20" s="5">
        <v>0.97297297297297303</v>
      </c>
      <c r="E20" s="5">
        <v>0.98099198099198104</v>
      </c>
      <c r="F20" s="5">
        <v>0.96199524940617498</v>
      </c>
      <c r="I20" s="1" t="s">
        <v>41</v>
      </c>
      <c r="J20" s="5">
        <v>0.94736842105263097</v>
      </c>
      <c r="K20" s="5">
        <v>1</v>
      </c>
      <c r="L20" s="5">
        <v>0.97297297297297303</v>
      </c>
      <c r="M20" s="5">
        <v>0.98099198099198104</v>
      </c>
      <c r="N20" s="5">
        <v>0.96199524940617498</v>
      </c>
    </row>
    <row r="21" spans="1:14" x14ac:dyDescent="0.25">
      <c r="A21" s="1" t="s">
        <v>42</v>
      </c>
      <c r="B21" s="5">
        <v>0.81818181818181801</v>
      </c>
      <c r="C21" s="5">
        <v>1</v>
      </c>
      <c r="D21" s="5">
        <v>0.9</v>
      </c>
      <c r="E21" s="5">
        <v>0.92727272727272703</v>
      </c>
      <c r="F21" s="5">
        <v>0.855203619909502</v>
      </c>
      <c r="I21" s="1" t="s">
        <v>42</v>
      </c>
      <c r="J21" s="5">
        <v>0.81818181818181801</v>
      </c>
      <c r="K21" s="5">
        <v>1</v>
      </c>
      <c r="L21" s="5">
        <v>0.9</v>
      </c>
      <c r="M21" s="5">
        <v>0.92727272727272703</v>
      </c>
      <c r="N21" s="5">
        <v>0.855203619909502</v>
      </c>
    </row>
    <row r="22" spans="1:14" x14ac:dyDescent="0.25">
      <c r="A22" s="1" t="s">
        <v>43</v>
      </c>
      <c r="B22" s="5">
        <v>0.76190476190476097</v>
      </c>
      <c r="C22" s="5">
        <v>1</v>
      </c>
      <c r="D22" s="5">
        <v>0.86486486486486402</v>
      </c>
      <c r="E22" s="5">
        <v>0.90495990495990497</v>
      </c>
      <c r="F22" s="5">
        <v>0.81132075471698095</v>
      </c>
      <c r="I22" s="1" t="s">
        <v>43</v>
      </c>
      <c r="J22" s="5">
        <v>0.76190476190476097</v>
      </c>
      <c r="K22" s="5">
        <v>1</v>
      </c>
      <c r="L22" s="5">
        <v>0.86486486486486402</v>
      </c>
      <c r="M22" s="5">
        <v>0.90495990495990497</v>
      </c>
      <c r="N22" s="5">
        <v>0.81132075471698095</v>
      </c>
    </row>
    <row r="23" spans="1:14" x14ac:dyDescent="0.25">
      <c r="A23" s="1" t="s">
        <v>44</v>
      </c>
      <c r="B23" s="5">
        <v>0.84016591020049303</v>
      </c>
      <c r="C23" s="5">
        <v>0.91963163467777098</v>
      </c>
      <c r="D23" s="5">
        <v>0.87016346346936801</v>
      </c>
      <c r="E23" s="5">
        <v>0.83588307372596604</v>
      </c>
      <c r="F23" s="5">
        <v>0.68005996297129001</v>
      </c>
      <c r="I23" s="1" t="s">
        <v>44</v>
      </c>
      <c r="J23" s="5">
        <v>0.84086237401024899</v>
      </c>
      <c r="K23" s="5">
        <v>0.92656040550928898</v>
      </c>
      <c r="L23" s="5">
        <v>0.873671750143314</v>
      </c>
      <c r="M23" s="5">
        <v>0.843560159120748</v>
      </c>
      <c r="N23" s="5">
        <v>0.69581409696619501</v>
      </c>
    </row>
    <row r="24" spans="1:14" x14ac:dyDescent="0.25">
      <c r="I24" s="2"/>
    </row>
    <row r="25" spans="1:14" x14ac:dyDescent="0.25">
      <c r="A25" s="11" t="s">
        <v>22</v>
      </c>
      <c r="B25" s="11"/>
      <c r="C25" s="11"/>
      <c r="D25" s="11"/>
      <c r="E25" s="11"/>
      <c r="F25" s="11"/>
      <c r="I25" s="11" t="s">
        <v>22</v>
      </c>
      <c r="J25" s="11"/>
      <c r="K25" s="11"/>
      <c r="L25" s="11"/>
      <c r="M25" s="11"/>
      <c r="N25" s="11"/>
    </row>
    <row r="26" spans="1:14" x14ac:dyDescent="0.25">
      <c r="A26" s="1" t="s">
        <v>24</v>
      </c>
      <c r="B26" s="4" t="s">
        <v>16</v>
      </c>
      <c r="C26" s="4" t="s">
        <v>17</v>
      </c>
      <c r="D26" s="4" t="s">
        <v>19</v>
      </c>
      <c r="E26" s="4" t="s">
        <v>18</v>
      </c>
      <c r="F26" s="4" t="s">
        <v>20</v>
      </c>
      <c r="I26" s="1" t="s">
        <v>24</v>
      </c>
      <c r="J26" s="4" t="s">
        <v>16</v>
      </c>
      <c r="K26" s="4" t="s">
        <v>17</v>
      </c>
      <c r="L26" s="4" t="s">
        <v>19</v>
      </c>
      <c r="M26" s="4" t="s">
        <v>18</v>
      </c>
      <c r="N26" s="4" t="s">
        <v>20</v>
      </c>
    </row>
    <row r="27" spans="1:14" x14ac:dyDescent="0.25">
      <c r="A27" s="1" t="s">
        <v>25</v>
      </c>
      <c r="B27" s="5">
        <v>0.74545454545454504</v>
      </c>
      <c r="C27" s="5">
        <v>1</v>
      </c>
      <c r="D27" s="5">
        <v>0.85416666666666596</v>
      </c>
      <c r="E27" s="5">
        <v>0.70833333333333304</v>
      </c>
      <c r="F27" s="5">
        <v>0.45165238678090502</v>
      </c>
      <c r="I27" s="1" t="s">
        <v>25</v>
      </c>
      <c r="J27" s="5">
        <v>0.74545454545454504</v>
      </c>
      <c r="K27" s="5">
        <v>1</v>
      </c>
      <c r="L27" s="5">
        <v>0.85416666666666596</v>
      </c>
      <c r="M27" s="5">
        <v>0.70833333333333304</v>
      </c>
      <c r="N27" s="5">
        <v>0.45165238678090502</v>
      </c>
    </row>
    <row r="28" spans="1:14" x14ac:dyDescent="0.25">
      <c r="A28" s="1" t="s">
        <v>26</v>
      </c>
      <c r="B28" s="5">
        <v>0.76190476190476097</v>
      </c>
      <c r="C28" s="5">
        <v>0.69565217391304301</v>
      </c>
      <c r="D28" s="5">
        <v>0.72727272727272696</v>
      </c>
      <c r="E28" s="5">
        <v>0.79220779220779203</v>
      </c>
      <c r="F28" s="5">
        <v>0.584864864864864</v>
      </c>
      <c r="I28" s="1" t="s">
        <v>26</v>
      </c>
      <c r="J28" s="5">
        <v>0.76190476190476097</v>
      </c>
      <c r="K28" s="5">
        <v>0.69565217391304301</v>
      </c>
      <c r="L28" s="5">
        <v>0.72727272727272696</v>
      </c>
      <c r="M28" s="5">
        <v>0.79220779220779203</v>
      </c>
      <c r="N28" s="5">
        <v>0.584864864864864</v>
      </c>
    </row>
    <row r="29" spans="1:14" x14ac:dyDescent="0.25">
      <c r="A29" s="1" t="s">
        <v>27</v>
      </c>
      <c r="B29" s="5">
        <v>0.66666666666666596</v>
      </c>
      <c r="C29" s="5">
        <v>0.52631578947368396</v>
      </c>
      <c r="D29" s="5">
        <v>0.58823529411764697</v>
      </c>
      <c r="E29" s="5">
        <v>0.71964956195244001</v>
      </c>
      <c r="F29" s="5">
        <v>0.44209215442092098</v>
      </c>
      <c r="I29" s="1" t="s">
        <v>27</v>
      </c>
      <c r="J29" s="5">
        <v>0.66666666666666596</v>
      </c>
      <c r="K29" s="5">
        <v>0.52631578947368396</v>
      </c>
      <c r="L29" s="5">
        <v>0.58823529411764697</v>
      </c>
      <c r="M29" s="5">
        <v>0.71964956195244001</v>
      </c>
      <c r="N29" s="5">
        <v>0.44209215442092098</v>
      </c>
    </row>
    <row r="30" spans="1:14" x14ac:dyDescent="0.25">
      <c r="A30" s="1" t="s">
        <v>28</v>
      </c>
      <c r="B30" s="5">
        <v>0.183673469387755</v>
      </c>
      <c r="C30" s="5">
        <v>0.81818181818181801</v>
      </c>
      <c r="D30" s="5">
        <v>0.3</v>
      </c>
      <c r="E30" s="5">
        <v>0.34117647058823503</v>
      </c>
      <c r="F30" s="5">
        <v>2.67921795800144E-2</v>
      </c>
      <c r="I30" s="1" t="s">
        <v>28</v>
      </c>
      <c r="J30" s="5">
        <v>0.183673469387755</v>
      </c>
      <c r="K30" s="5">
        <v>0.81818181818181801</v>
      </c>
      <c r="L30" s="5">
        <v>0.3</v>
      </c>
      <c r="M30" s="5">
        <v>0.34117647058823503</v>
      </c>
      <c r="N30" s="5">
        <v>2.67921795800144E-2</v>
      </c>
    </row>
    <row r="31" spans="1:14" x14ac:dyDescent="0.25">
      <c r="A31" s="1" t="s">
        <v>29</v>
      </c>
      <c r="B31" s="5">
        <v>0.5625</v>
      </c>
      <c r="C31" s="5">
        <v>0.94736842105263097</v>
      </c>
      <c r="D31" s="5">
        <v>0.70588235294117596</v>
      </c>
      <c r="E31" s="5">
        <v>0.75553857906799005</v>
      </c>
      <c r="F31" s="5">
        <v>0.53125</v>
      </c>
      <c r="I31" s="1" t="s">
        <v>29</v>
      </c>
      <c r="J31" s="5">
        <v>0.5625</v>
      </c>
      <c r="K31" s="5">
        <v>0.94736842105263097</v>
      </c>
      <c r="L31" s="5">
        <v>0.70588235294117596</v>
      </c>
      <c r="M31" s="5">
        <v>0.75553857906799005</v>
      </c>
      <c r="N31" s="5">
        <v>0.53125</v>
      </c>
    </row>
    <row r="32" spans="1:14" x14ac:dyDescent="0.25">
      <c r="A32" s="1" t="s">
        <v>30</v>
      </c>
      <c r="B32" s="5">
        <v>0.60416666666666596</v>
      </c>
      <c r="C32" s="5">
        <v>0.93548387096774099</v>
      </c>
      <c r="D32" s="5">
        <v>0.734177215189873</v>
      </c>
      <c r="E32" s="5">
        <v>0.65280289330922203</v>
      </c>
      <c r="F32" s="5">
        <v>0.35384615384615298</v>
      </c>
      <c r="I32" s="1" t="s">
        <v>30</v>
      </c>
      <c r="J32" s="5">
        <v>0.60416666666666596</v>
      </c>
      <c r="K32" s="5">
        <v>0.93548387096774099</v>
      </c>
      <c r="L32" s="5">
        <v>0.734177215189873</v>
      </c>
      <c r="M32" s="5">
        <v>0.65280289330922203</v>
      </c>
      <c r="N32" s="5">
        <v>0.35384615384615298</v>
      </c>
    </row>
    <row r="33" spans="1:14" x14ac:dyDescent="0.25">
      <c r="A33" s="1" t="s">
        <v>31</v>
      </c>
      <c r="B33" s="5">
        <v>0.51162790697674398</v>
      </c>
      <c r="C33" s="5">
        <v>0.84615384615384603</v>
      </c>
      <c r="D33" s="5">
        <v>0.63768115942028902</v>
      </c>
      <c r="E33" s="5">
        <v>0.606976172930483</v>
      </c>
      <c r="F33" s="5">
        <v>0.26605504587155898</v>
      </c>
      <c r="I33" s="1" t="s">
        <v>31</v>
      </c>
      <c r="J33" s="5">
        <v>0.51162790697674398</v>
      </c>
      <c r="K33" s="5">
        <v>0.84615384615384603</v>
      </c>
      <c r="L33" s="5">
        <v>0.63768115942028902</v>
      </c>
      <c r="M33" s="5">
        <v>0.606976172930483</v>
      </c>
      <c r="N33" s="5">
        <v>0.26605504587155898</v>
      </c>
    </row>
    <row r="34" spans="1:14" x14ac:dyDescent="0.25">
      <c r="A34" s="1" t="s">
        <v>32</v>
      </c>
      <c r="B34" s="5">
        <v>0.67307692307692302</v>
      </c>
      <c r="C34" s="5">
        <v>1</v>
      </c>
      <c r="D34" s="5">
        <v>0.80459770114942497</v>
      </c>
      <c r="E34" s="5">
        <v>0.69498177740398004</v>
      </c>
      <c r="F34" s="5">
        <v>0.43568464730290402</v>
      </c>
      <c r="I34" s="1" t="s">
        <v>32</v>
      </c>
      <c r="J34" s="5">
        <v>0.67307692307692302</v>
      </c>
      <c r="K34" s="5">
        <v>1</v>
      </c>
      <c r="L34" s="5">
        <v>0.80459770114942497</v>
      </c>
      <c r="M34" s="5">
        <v>0.69498177740398004</v>
      </c>
      <c r="N34" s="5">
        <v>0.43568464730290402</v>
      </c>
    </row>
    <row r="35" spans="1:14" x14ac:dyDescent="0.25">
      <c r="A35" s="1" t="s">
        <v>33</v>
      </c>
      <c r="B35" s="5">
        <v>0.53488372093023195</v>
      </c>
      <c r="C35" s="5">
        <v>0.88461538461538403</v>
      </c>
      <c r="D35" s="5">
        <v>0.66666666666666596</v>
      </c>
      <c r="E35" s="5">
        <v>0.63841807909604498</v>
      </c>
      <c r="F35" s="5">
        <v>0.32477064220183399</v>
      </c>
      <c r="I35" s="1" t="s">
        <v>33</v>
      </c>
      <c r="J35" s="5">
        <v>0.53488372093023195</v>
      </c>
      <c r="K35" s="5">
        <v>0.88461538461538403</v>
      </c>
      <c r="L35" s="5">
        <v>0.66666666666666596</v>
      </c>
      <c r="M35" s="5">
        <v>0.63841807909604498</v>
      </c>
      <c r="N35" s="5">
        <v>0.32477064220183399</v>
      </c>
    </row>
    <row r="36" spans="1:14" x14ac:dyDescent="0.25">
      <c r="A36" s="1" t="s">
        <v>34</v>
      </c>
      <c r="B36" s="5">
        <v>1</v>
      </c>
      <c r="C36" s="5">
        <v>0.97959183673469297</v>
      </c>
      <c r="D36" s="5">
        <v>0.98969072164948402</v>
      </c>
      <c r="E36" s="5">
        <v>0.97871632856667701</v>
      </c>
      <c r="F36" s="5">
        <v>0.95744680851063801</v>
      </c>
      <c r="I36" s="1" t="s">
        <v>34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</row>
    <row r="37" spans="1:14" x14ac:dyDescent="0.25">
      <c r="A37" s="1" t="s">
        <v>35</v>
      </c>
      <c r="B37" s="5">
        <v>1</v>
      </c>
      <c r="C37" s="5">
        <v>0.98039215686274495</v>
      </c>
      <c r="D37" s="5">
        <v>0.99009900990098998</v>
      </c>
      <c r="E37" s="5">
        <v>0.976530986431976</v>
      </c>
      <c r="F37" s="5">
        <v>0.95307917888562999</v>
      </c>
      <c r="I37" s="1" t="s">
        <v>35</v>
      </c>
      <c r="J37" s="5">
        <v>1</v>
      </c>
      <c r="K37" s="5">
        <v>1</v>
      </c>
      <c r="L37" s="5">
        <v>1</v>
      </c>
      <c r="M37" s="5">
        <v>1</v>
      </c>
      <c r="N37" s="5">
        <v>1</v>
      </c>
    </row>
    <row r="38" spans="1:14" x14ac:dyDescent="0.25">
      <c r="A38" s="1" t="s">
        <v>36</v>
      </c>
      <c r="B38" s="5">
        <v>0.15909090909090901</v>
      </c>
      <c r="C38" s="5">
        <v>0.875</v>
      </c>
      <c r="D38" s="5">
        <v>0.269230769230769</v>
      </c>
      <c r="E38" s="5">
        <v>0.38461538461538403</v>
      </c>
      <c r="F38" s="5">
        <v>7.3170731707316999E-2</v>
      </c>
      <c r="I38" s="1" t="s">
        <v>36</v>
      </c>
      <c r="J38" s="5">
        <v>0.17777777777777701</v>
      </c>
      <c r="K38" s="5">
        <v>1</v>
      </c>
      <c r="L38" s="5">
        <v>0.30188679245283001</v>
      </c>
      <c r="M38" s="5">
        <v>0.40427672955974803</v>
      </c>
      <c r="N38" s="5">
        <v>0.11377245508981999</v>
      </c>
    </row>
    <row r="39" spans="1:14" x14ac:dyDescent="0.25">
      <c r="A39" s="1" t="s">
        <v>37</v>
      </c>
      <c r="B39" s="5">
        <v>0.94642857142857095</v>
      </c>
      <c r="C39" s="5">
        <v>0.98148148148148096</v>
      </c>
      <c r="D39" s="5">
        <v>0.96363636363636296</v>
      </c>
      <c r="E39" s="5">
        <v>0.87070707070706999</v>
      </c>
      <c r="F39" s="5">
        <v>0.74193548387096697</v>
      </c>
      <c r="I39" s="1" t="s">
        <v>37</v>
      </c>
      <c r="J39" s="5">
        <v>0.94736842105263097</v>
      </c>
      <c r="K39" s="5">
        <v>1</v>
      </c>
      <c r="L39" s="5">
        <v>0.97297297297297303</v>
      </c>
      <c r="M39" s="5">
        <v>0.89825119236883899</v>
      </c>
      <c r="N39" s="5">
        <v>0.797468354430379</v>
      </c>
    </row>
    <row r="40" spans="1:14" x14ac:dyDescent="0.25">
      <c r="A40" s="1" t="s">
        <v>38</v>
      </c>
      <c r="B40" s="5">
        <v>0.98181818181818103</v>
      </c>
      <c r="C40" s="5">
        <v>0.96428571428571397</v>
      </c>
      <c r="D40" s="5">
        <v>0.97297297297297303</v>
      </c>
      <c r="E40" s="5">
        <v>0.89825119236883899</v>
      </c>
      <c r="F40" s="5">
        <v>0.79661016949152497</v>
      </c>
      <c r="I40" s="1" t="s">
        <v>38</v>
      </c>
      <c r="J40" s="5">
        <v>0.98214285714285698</v>
      </c>
      <c r="K40" s="5">
        <v>0.98214285714285698</v>
      </c>
      <c r="L40" s="5">
        <v>0.98214285714285698</v>
      </c>
      <c r="M40" s="5">
        <v>0.92857142857142805</v>
      </c>
      <c r="N40" s="5">
        <v>0.85714285714285698</v>
      </c>
    </row>
    <row r="41" spans="1:14" x14ac:dyDescent="0.25">
      <c r="A41" s="1" t="s">
        <v>39</v>
      </c>
      <c r="B41" s="5">
        <v>0.677966101694915</v>
      </c>
      <c r="C41" s="5">
        <v>0.97560975609756095</v>
      </c>
      <c r="D41" s="5">
        <v>0.8</v>
      </c>
      <c r="E41" s="5">
        <v>0.54285714285714204</v>
      </c>
      <c r="F41" s="5">
        <v>0.18053777208706701</v>
      </c>
      <c r="I41" s="1" t="s">
        <v>39</v>
      </c>
      <c r="J41" s="5">
        <v>0.68333333333333302</v>
      </c>
      <c r="K41" s="5">
        <v>1</v>
      </c>
      <c r="L41" s="5">
        <v>0.81188118811881105</v>
      </c>
      <c r="M41" s="5">
        <v>0.554088742207554</v>
      </c>
      <c r="N41" s="5">
        <v>0.21243523316062099</v>
      </c>
    </row>
    <row r="42" spans="1:14" x14ac:dyDescent="0.25">
      <c r="A42" s="1" t="s">
        <v>40</v>
      </c>
      <c r="B42" s="5">
        <v>0.63636363636363602</v>
      </c>
      <c r="C42" s="5">
        <v>0.97222222222222199</v>
      </c>
      <c r="D42" s="5">
        <v>0.76923076923076905</v>
      </c>
      <c r="E42" s="5">
        <v>0.60083160083160003</v>
      </c>
      <c r="F42" s="5">
        <v>0.27896995708154498</v>
      </c>
      <c r="I42" s="1" t="s">
        <v>40</v>
      </c>
      <c r="J42" s="5">
        <v>0.63636363636363602</v>
      </c>
      <c r="K42" s="5">
        <v>0.97222222222222199</v>
      </c>
      <c r="L42" s="5">
        <v>0.76923076923076905</v>
      </c>
      <c r="M42" s="5">
        <v>0.60083160083160003</v>
      </c>
      <c r="N42" s="5">
        <v>0.27896995708154498</v>
      </c>
    </row>
    <row r="43" spans="1:14" x14ac:dyDescent="0.25">
      <c r="A43" s="1" t="s">
        <v>41</v>
      </c>
      <c r="B43" s="5">
        <v>0.73684210526315697</v>
      </c>
      <c r="C43" s="5">
        <v>1</v>
      </c>
      <c r="D43" s="5">
        <v>0.84848484848484795</v>
      </c>
      <c r="E43" s="5">
        <v>0.89792663476874002</v>
      </c>
      <c r="F43" s="5">
        <v>0.797468354430379</v>
      </c>
      <c r="I43" s="1" t="s">
        <v>41</v>
      </c>
      <c r="J43" s="5">
        <v>0.73684210526315697</v>
      </c>
      <c r="K43" s="5">
        <v>1</v>
      </c>
      <c r="L43" s="5">
        <v>0.84848484848484795</v>
      </c>
      <c r="M43" s="5">
        <v>0.89792663476874002</v>
      </c>
      <c r="N43" s="5">
        <v>0.797468354430379</v>
      </c>
    </row>
    <row r="44" spans="1:14" x14ac:dyDescent="0.25">
      <c r="A44" s="1" t="s">
        <v>42</v>
      </c>
      <c r="B44" s="5">
        <v>0.90909090909090895</v>
      </c>
      <c r="C44" s="5">
        <v>1</v>
      </c>
      <c r="D44" s="5">
        <v>0.952380952380952</v>
      </c>
      <c r="E44" s="5">
        <v>0.96456256921373196</v>
      </c>
      <c r="F44" s="5">
        <v>0.92920353982300796</v>
      </c>
      <c r="I44" s="1" t="s">
        <v>42</v>
      </c>
      <c r="J44" s="5">
        <v>0.90909090909090895</v>
      </c>
      <c r="K44" s="5">
        <v>1</v>
      </c>
      <c r="L44" s="5">
        <v>0.952380952380952</v>
      </c>
      <c r="M44" s="5">
        <v>0.96456256921373196</v>
      </c>
      <c r="N44" s="5">
        <v>0.92920353982300796</v>
      </c>
    </row>
    <row r="45" spans="1:14" x14ac:dyDescent="0.25">
      <c r="A45" s="1" t="s">
        <v>43</v>
      </c>
      <c r="B45" s="5">
        <v>0.42857142857142799</v>
      </c>
      <c r="C45" s="5">
        <v>0.9</v>
      </c>
      <c r="D45" s="5">
        <v>0.58064516129032195</v>
      </c>
      <c r="E45" s="5">
        <v>0.72331227136680998</v>
      </c>
      <c r="F45" s="5">
        <v>0.46803069053708402</v>
      </c>
      <c r="I45" s="1" t="s">
        <v>43</v>
      </c>
      <c r="J45" s="5">
        <v>0.42857142857142799</v>
      </c>
      <c r="K45" s="5">
        <v>0.9</v>
      </c>
      <c r="L45" s="5">
        <v>0.58064516129032195</v>
      </c>
      <c r="M45" s="5">
        <v>0.72331227136680998</v>
      </c>
      <c r="N45" s="5">
        <v>0.46803069053708402</v>
      </c>
    </row>
    <row r="46" spans="1:14" x14ac:dyDescent="0.25">
      <c r="A46" s="1" t="s">
        <v>44</v>
      </c>
      <c r="B46" s="5">
        <v>0.66948034233610498</v>
      </c>
      <c r="C46" s="5">
        <v>0.90959760379171395</v>
      </c>
      <c r="D46" s="5">
        <v>0.74500270274747005</v>
      </c>
      <c r="E46" s="5">
        <v>0.72359978113776302</v>
      </c>
      <c r="F46" s="5">
        <v>0.50491898743654295</v>
      </c>
      <c r="I46" s="1" t="s">
        <v>44</v>
      </c>
      <c r="J46" s="5">
        <v>0.670812901561054</v>
      </c>
      <c r="K46" s="5">
        <v>0.92148086230122195</v>
      </c>
      <c r="L46" s="5">
        <v>0.749384490815728</v>
      </c>
      <c r="M46" s="5">
        <v>0.73062662256726196</v>
      </c>
      <c r="N46" s="5">
        <v>0.51955260613499199</v>
      </c>
    </row>
    <row r="47" spans="1:14" x14ac:dyDescent="0.25">
      <c r="I47" s="2"/>
    </row>
    <row r="48" spans="1:14" x14ac:dyDescent="0.25">
      <c r="A48" s="11" t="s">
        <v>21</v>
      </c>
      <c r="B48" s="11"/>
      <c r="C48" s="11"/>
      <c r="D48" s="11"/>
      <c r="E48" s="11"/>
      <c r="F48" s="11"/>
      <c r="I48" s="11" t="s">
        <v>21</v>
      </c>
      <c r="J48" s="11"/>
      <c r="K48" s="11"/>
      <c r="L48" s="11"/>
      <c r="M48" s="11"/>
      <c r="N48" s="11"/>
    </row>
    <row r="49" spans="1:14" x14ac:dyDescent="0.25">
      <c r="A49" s="1" t="s">
        <v>24</v>
      </c>
      <c r="B49" s="4" t="s">
        <v>16</v>
      </c>
      <c r="C49" s="4" t="s">
        <v>17</v>
      </c>
      <c r="D49" s="4" t="s">
        <v>19</v>
      </c>
      <c r="E49" s="4" t="s">
        <v>18</v>
      </c>
      <c r="F49" s="4" t="s">
        <v>20</v>
      </c>
      <c r="I49" s="1" t="s">
        <v>24</v>
      </c>
      <c r="J49" s="4" t="s">
        <v>16</v>
      </c>
      <c r="K49" s="4" t="s">
        <v>17</v>
      </c>
      <c r="L49" s="4" t="s">
        <v>19</v>
      </c>
      <c r="M49" s="4" t="s">
        <v>18</v>
      </c>
      <c r="N49" s="4" t="s">
        <v>20</v>
      </c>
    </row>
    <row r="50" spans="1:14" x14ac:dyDescent="0.25">
      <c r="A50" s="1" t="s">
        <v>25</v>
      </c>
      <c r="B50" s="5">
        <v>0.94545454545454499</v>
      </c>
      <c r="C50" s="5">
        <v>1</v>
      </c>
      <c r="D50" s="5">
        <v>0.97196261682242902</v>
      </c>
      <c r="E50" s="5">
        <v>0.91455273698264306</v>
      </c>
      <c r="F50" s="5">
        <v>0.82978723404255295</v>
      </c>
      <c r="I50" s="1" t="s">
        <v>25</v>
      </c>
      <c r="J50" s="5">
        <v>0.94545454545454499</v>
      </c>
      <c r="K50" s="5">
        <v>1</v>
      </c>
      <c r="L50" s="5">
        <v>0.97196261682242902</v>
      </c>
      <c r="M50" s="5">
        <v>0.91455273698264306</v>
      </c>
      <c r="N50" s="5">
        <v>0.82978723404255295</v>
      </c>
    </row>
    <row r="51" spans="1:14" x14ac:dyDescent="0.25">
      <c r="A51" s="1" t="s">
        <v>26</v>
      </c>
      <c r="B51" s="5">
        <v>0.80952380952380898</v>
      </c>
      <c r="C51" s="5">
        <v>0.73913043478260798</v>
      </c>
      <c r="D51" s="5">
        <v>0.77272727272727204</v>
      </c>
      <c r="E51" s="5">
        <v>0.82683982683982604</v>
      </c>
      <c r="F51" s="5">
        <v>0.65405405405405403</v>
      </c>
      <c r="I51" s="1" t="s">
        <v>26</v>
      </c>
      <c r="J51" s="5">
        <v>0.80952380952380898</v>
      </c>
      <c r="K51" s="5">
        <v>0.73913043478260798</v>
      </c>
      <c r="L51" s="5">
        <v>0.77272727272727204</v>
      </c>
      <c r="M51" s="5">
        <v>0.82683982683982604</v>
      </c>
      <c r="N51" s="5">
        <v>0.65405405405405403</v>
      </c>
    </row>
    <row r="52" spans="1:14" x14ac:dyDescent="0.25">
      <c r="A52" s="1" t="s">
        <v>27</v>
      </c>
      <c r="B52" s="5">
        <v>1</v>
      </c>
      <c r="C52" s="5">
        <v>0.31914893617021201</v>
      </c>
      <c r="D52" s="5">
        <v>0.483870967741935</v>
      </c>
      <c r="E52" s="5">
        <v>0.49951124144672499</v>
      </c>
      <c r="F52" s="5">
        <v>0.199374511336982</v>
      </c>
      <c r="I52" s="1" t="s">
        <v>27</v>
      </c>
      <c r="J52" s="5">
        <v>1</v>
      </c>
      <c r="K52" s="5">
        <v>0.31914893617021201</v>
      </c>
      <c r="L52" s="5">
        <v>0.483870967741935</v>
      </c>
      <c r="M52" s="5">
        <v>0.49951124144672499</v>
      </c>
      <c r="N52" s="5">
        <v>0.199374511336982</v>
      </c>
    </row>
    <row r="53" spans="1:14" x14ac:dyDescent="0.25">
      <c r="A53" s="1" t="s">
        <v>28</v>
      </c>
      <c r="B53" s="5">
        <v>0.91836734693877498</v>
      </c>
      <c r="C53" s="5">
        <v>0.95744680851063801</v>
      </c>
      <c r="D53" s="5">
        <v>0.9375</v>
      </c>
      <c r="E53" s="5">
        <v>0.875</v>
      </c>
      <c r="F53" s="5">
        <v>0.75032509752925802</v>
      </c>
      <c r="I53" s="1" t="s">
        <v>28</v>
      </c>
      <c r="J53" s="5">
        <v>0.91836734693877498</v>
      </c>
      <c r="K53" s="5">
        <v>0.95744680851063801</v>
      </c>
      <c r="L53" s="5">
        <v>0.9375</v>
      </c>
      <c r="M53" s="5">
        <v>0.875</v>
      </c>
      <c r="N53" s="5">
        <v>0.75032509752925802</v>
      </c>
    </row>
    <row r="54" spans="1:14" x14ac:dyDescent="0.25">
      <c r="A54" s="1" t="s">
        <v>29</v>
      </c>
      <c r="B54" s="5">
        <v>0.65625</v>
      </c>
      <c r="C54" s="5">
        <v>0.95454545454545403</v>
      </c>
      <c r="D54" s="5">
        <v>0.77777777777777701</v>
      </c>
      <c r="E54" s="5">
        <v>0.80780780780780703</v>
      </c>
      <c r="F54" s="5">
        <v>0.625</v>
      </c>
      <c r="I54" s="1" t="s">
        <v>29</v>
      </c>
      <c r="J54" s="5">
        <v>0.65625</v>
      </c>
      <c r="K54" s="5">
        <v>0.95454545454545403</v>
      </c>
      <c r="L54" s="5">
        <v>0.77777777777777701</v>
      </c>
      <c r="M54" s="5">
        <v>0.80780780780780703</v>
      </c>
      <c r="N54" s="5">
        <v>0.625</v>
      </c>
    </row>
    <row r="55" spans="1:14" x14ac:dyDescent="0.25">
      <c r="A55" s="1" t="s">
        <v>30</v>
      </c>
      <c r="B55" s="5">
        <v>1</v>
      </c>
      <c r="C55" s="5">
        <v>0.84210526315789402</v>
      </c>
      <c r="D55" s="5">
        <v>0.91428571428571404</v>
      </c>
      <c r="E55" s="5">
        <v>0.76149068322981295</v>
      </c>
      <c r="F55" s="5">
        <v>0.53846153846153799</v>
      </c>
      <c r="I55" s="1" t="s">
        <v>30</v>
      </c>
      <c r="J55" s="5">
        <v>1</v>
      </c>
      <c r="K55" s="5">
        <v>0.84210526315789402</v>
      </c>
      <c r="L55" s="5">
        <v>0.91428571428571404</v>
      </c>
      <c r="M55" s="5">
        <v>0.76149068322981295</v>
      </c>
      <c r="N55" s="5">
        <v>0.53846153846153799</v>
      </c>
    </row>
    <row r="56" spans="1:14" x14ac:dyDescent="0.25">
      <c r="A56" s="1" t="s">
        <v>31</v>
      </c>
      <c r="B56" s="5">
        <v>0.76744186046511598</v>
      </c>
      <c r="C56" s="5">
        <v>0.80487804878048697</v>
      </c>
      <c r="D56" s="5">
        <v>0.78571428571428503</v>
      </c>
      <c r="E56" s="5">
        <v>0.68831168831168799</v>
      </c>
      <c r="F56" s="5">
        <v>0.377297297297297</v>
      </c>
      <c r="I56" s="1" t="s">
        <v>31</v>
      </c>
      <c r="J56" s="5">
        <v>0.76744186046511598</v>
      </c>
      <c r="K56" s="5">
        <v>0.80487804878048697</v>
      </c>
      <c r="L56" s="5">
        <v>0.78571428571428503</v>
      </c>
      <c r="M56" s="5">
        <v>0.68831168831168799</v>
      </c>
      <c r="N56" s="5">
        <v>0.377297297297297</v>
      </c>
    </row>
    <row r="57" spans="1:14" x14ac:dyDescent="0.25">
      <c r="A57" s="1" t="s">
        <v>32</v>
      </c>
      <c r="B57" s="5">
        <v>0.51923076923076905</v>
      </c>
      <c r="C57" s="5">
        <v>0.9</v>
      </c>
      <c r="D57" s="5">
        <v>0.65853658536585302</v>
      </c>
      <c r="E57" s="5">
        <v>0.52492046659597003</v>
      </c>
      <c r="F57" s="5">
        <v>0.157894736842105</v>
      </c>
      <c r="I57" s="1" t="s">
        <v>32</v>
      </c>
      <c r="J57" s="5">
        <v>0.51923076923076905</v>
      </c>
      <c r="K57" s="5">
        <v>0.9</v>
      </c>
      <c r="L57" s="5">
        <v>0.65853658536585302</v>
      </c>
      <c r="M57" s="5">
        <v>0.52492046659597003</v>
      </c>
      <c r="N57" s="5">
        <v>0.157894736842105</v>
      </c>
    </row>
    <row r="58" spans="1:14" x14ac:dyDescent="0.25">
      <c r="A58" s="1" t="s">
        <v>33</v>
      </c>
      <c r="B58" s="5">
        <v>0.93023255813953398</v>
      </c>
      <c r="C58" s="5">
        <v>0.8</v>
      </c>
      <c r="D58" s="5">
        <v>0.86021505376343999</v>
      </c>
      <c r="E58" s="5">
        <v>0.74439324116743399</v>
      </c>
      <c r="F58" s="5">
        <v>0.49636803874092</v>
      </c>
      <c r="I58" s="1" t="s">
        <v>33</v>
      </c>
      <c r="J58" s="5">
        <v>0.93023255813953398</v>
      </c>
      <c r="K58" s="5">
        <v>0.8</v>
      </c>
      <c r="L58" s="5">
        <v>0.86021505376343999</v>
      </c>
      <c r="M58" s="5">
        <v>0.74439324116743399</v>
      </c>
      <c r="N58" s="5">
        <v>0.49636803874092</v>
      </c>
    </row>
    <row r="59" spans="1:14" x14ac:dyDescent="0.25">
      <c r="A59" s="1" t="s">
        <v>34</v>
      </c>
      <c r="B59" s="5">
        <v>1</v>
      </c>
      <c r="C59" s="5">
        <v>1</v>
      </c>
      <c r="D59" s="5">
        <v>1</v>
      </c>
      <c r="E59" s="5">
        <v>1</v>
      </c>
      <c r="F59" s="5">
        <v>1</v>
      </c>
      <c r="I59" s="1" t="s">
        <v>34</v>
      </c>
      <c r="J59" s="5">
        <v>0.97959183673469297</v>
      </c>
      <c r="K59" s="5">
        <v>1</v>
      </c>
      <c r="L59" s="5">
        <v>0.98969072164948402</v>
      </c>
      <c r="M59" s="5">
        <v>0.97871632856667701</v>
      </c>
      <c r="N59" s="5">
        <v>0.95744680851063801</v>
      </c>
    </row>
    <row r="60" spans="1:14" x14ac:dyDescent="0.25">
      <c r="A60" s="1" t="s">
        <v>35</v>
      </c>
      <c r="B60" s="5">
        <v>1</v>
      </c>
      <c r="C60" s="5">
        <v>0.98039215686274495</v>
      </c>
      <c r="D60" s="5">
        <v>0.99009900990098998</v>
      </c>
      <c r="E60" s="5">
        <v>0.976530986431976</v>
      </c>
      <c r="F60" s="5">
        <v>0.95307917888562999</v>
      </c>
      <c r="I60" s="1" t="s">
        <v>35</v>
      </c>
      <c r="J60" s="5">
        <v>1</v>
      </c>
      <c r="K60" s="5">
        <v>1</v>
      </c>
      <c r="L60" s="5">
        <v>1</v>
      </c>
      <c r="M60" s="5">
        <v>1</v>
      </c>
      <c r="N60" s="5">
        <v>1</v>
      </c>
    </row>
    <row r="61" spans="1:14" x14ac:dyDescent="0.25">
      <c r="A61" s="1" t="s">
        <v>36</v>
      </c>
      <c r="B61" s="5">
        <v>0.97727272727272696</v>
      </c>
      <c r="C61" s="5">
        <v>0.76785714285714202</v>
      </c>
      <c r="D61" s="5">
        <v>0.86</v>
      </c>
      <c r="E61" s="5">
        <v>0.67999999999999905</v>
      </c>
      <c r="F61" s="5">
        <v>0.39130434782608597</v>
      </c>
      <c r="I61" s="1" t="s">
        <v>36</v>
      </c>
      <c r="J61" s="5">
        <v>0.97777777777777697</v>
      </c>
      <c r="K61" s="5">
        <v>0.78571428571428503</v>
      </c>
      <c r="L61" s="5">
        <v>0.87128712871287095</v>
      </c>
      <c r="M61" s="5">
        <v>0.694902823615694</v>
      </c>
      <c r="N61" s="5">
        <v>0.41573033707865098</v>
      </c>
    </row>
    <row r="62" spans="1:14" x14ac:dyDescent="0.25">
      <c r="A62" s="1" t="s">
        <v>37</v>
      </c>
      <c r="B62" s="5">
        <v>0.98214285714285698</v>
      </c>
      <c r="C62" s="5">
        <v>0.98214285714285698</v>
      </c>
      <c r="D62" s="5">
        <v>0.98214285714285698</v>
      </c>
      <c r="E62" s="5">
        <v>0.92857142857142805</v>
      </c>
      <c r="F62" s="5">
        <v>0.85714285714285698</v>
      </c>
      <c r="I62" s="1" t="s">
        <v>37</v>
      </c>
      <c r="J62" s="5">
        <v>0.98245614035087703</v>
      </c>
      <c r="K62" s="5">
        <v>1</v>
      </c>
      <c r="L62" s="5">
        <v>0.99115044247787598</v>
      </c>
      <c r="M62" s="5">
        <v>0.96224188790560405</v>
      </c>
      <c r="N62" s="5">
        <v>0.92452830188679203</v>
      </c>
    </row>
    <row r="63" spans="1:14" x14ac:dyDescent="0.25">
      <c r="A63" s="1" t="s">
        <v>38</v>
      </c>
      <c r="B63" s="5">
        <v>0.96363636363636296</v>
      </c>
      <c r="C63" s="5">
        <v>0.96363636363636296</v>
      </c>
      <c r="D63" s="5">
        <v>0.96363636363636296</v>
      </c>
      <c r="E63" s="5">
        <v>0.87070707070706999</v>
      </c>
      <c r="F63" s="5">
        <v>0.74141414141414097</v>
      </c>
      <c r="I63" s="1" t="s">
        <v>38</v>
      </c>
      <c r="J63" s="5">
        <v>0.96428571428571397</v>
      </c>
      <c r="K63" s="5">
        <v>0.98181818181818103</v>
      </c>
      <c r="L63" s="5">
        <v>0.97297297297297303</v>
      </c>
      <c r="M63" s="5">
        <v>0.89825119236883899</v>
      </c>
      <c r="N63" s="5">
        <v>0.79661016949152497</v>
      </c>
    </row>
    <row r="64" spans="1:14" x14ac:dyDescent="0.25">
      <c r="A64" s="1" t="s">
        <v>39</v>
      </c>
      <c r="B64" s="5">
        <v>0.79661016949152497</v>
      </c>
      <c r="C64" s="5">
        <v>0.97916666666666596</v>
      </c>
      <c r="D64" s="5">
        <v>0.87850467289719603</v>
      </c>
      <c r="E64" s="5">
        <v>0.62972852692478798</v>
      </c>
      <c r="F64" s="5">
        <v>0.29729729729729698</v>
      </c>
      <c r="I64" s="1" t="s">
        <v>39</v>
      </c>
      <c r="J64" s="5">
        <v>0.8</v>
      </c>
      <c r="K64" s="5">
        <v>1</v>
      </c>
      <c r="L64" s="5">
        <v>0.88888888888888795</v>
      </c>
      <c r="M64" s="5">
        <v>0.64444444444444404</v>
      </c>
      <c r="N64" s="5">
        <v>0.33333333333333298</v>
      </c>
    </row>
    <row r="65" spans="1:14" x14ac:dyDescent="0.25">
      <c r="A65" s="1" t="s">
        <v>40</v>
      </c>
      <c r="B65" s="5">
        <v>1</v>
      </c>
      <c r="C65" s="5">
        <v>0.93220338983050799</v>
      </c>
      <c r="D65" s="5">
        <v>0.96491228070175405</v>
      </c>
      <c r="E65" s="5">
        <v>0.83959899749373401</v>
      </c>
      <c r="F65" s="5">
        <v>0.682382133995037</v>
      </c>
      <c r="I65" s="1" t="s">
        <v>40</v>
      </c>
      <c r="J65" s="5">
        <v>1</v>
      </c>
      <c r="K65" s="5">
        <v>0.93220338983050799</v>
      </c>
      <c r="L65" s="5">
        <v>0.96491228070175405</v>
      </c>
      <c r="M65" s="5">
        <v>0.83959899749373401</v>
      </c>
      <c r="N65" s="5">
        <v>0.682382133995037</v>
      </c>
    </row>
    <row r="66" spans="1:14" x14ac:dyDescent="0.25">
      <c r="A66" s="1" t="s">
        <v>41</v>
      </c>
      <c r="B66" s="5">
        <v>0.94736842105263097</v>
      </c>
      <c r="C66" s="5">
        <v>0.94736842105263097</v>
      </c>
      <c r="D66" s="5">
        <v>0.94736842105263097</v>
      </c>
      <c r="E66" s="5">
        <v>0.96257309941520397</v>
      </c>
      <c r="F66" s="5">
        <v>0.92514619883040905</v>
      </c>
      <c r="I66" s="1" t="s">
        <v>41</v>
      </c>
      <c r="J66" s="5">
        <v>0.94736842105263097</v>
      </c>
      <c r="K66" s="5">
        <v>0.94736842105263097</v>
      </c>
      <c r="L66" s="5">
        <v>0.94736842105263097</v>
      </c>
      <c r="M66" s="5">
        <v>0.96257309941520397</v>
      </c>
      <c r="N66" s="5">
        <v>0.92514619883040905</v>
      </c>
    </row>
    <row r="67" spans="1:14" x14ac:dyDescent="0.25">
      <c r="A67" s="1" t="s">
        <v>42</v>
      </c>
      <c r="B67" s="5">
        <v>0.81818181818181801</v>
      </c>
      <c r="C67" s="5">
        <v>0.94736842105263097</v>
      </c>
      <c r="D67" s="5">
        <v>0.87804878048780399</v>
      </c>
      <c r="E67" s="5">
        <v>0.91028875805999399</v>
      </c>
      <c r="F67" s="5">
        <v>0.82102908277404896</v>
      </c>
      <c r="I67" s="1" t="s">
        <v>42</v>
      </c>
      <c r="J67" s="5">
        <v>0.81818181818181801</v>
      </c>
      <c r="K67" s="5">
        <v>0.94736842105263097</v>
      </c>
      <c r="L67" s="5">
        <v>0.87804878048780399</v>
      </c>
      <c r="M67" s="5">
        <v>0.91028875805999399</v>
      </c>
      <c r="N67" s="5">
        <v>0.82102908277404896</v>
      </c>
    </row>
    <row r="68" spans="1:14" x14ac:dyDescent="0.25">
      <c r="A68" s="1" t="s">
        <v>43</v>
      </c>
      <c r="B68" s="5">
        <v>0.80952380952380898</v>
      </c>
      <c r="C68" s="5">
        <v>0.94444444444444398</v>
      </c>
      <c r="D68" s="5">
        <v>0.87179487179487103</v>
      </c>
      <c r="E68" s="5">
        <v>0.90780754825698595</v>
      </c>
      <c r="F68" s="5">
        <v>0.81609195402298795</v>
      </c>
      <c r="I68" s="1" t="s">
        <v>43</v>
      </c>
      <c r="J68" s="5">
        <v>0.80952380952380898</v>
      </c>
      <c r="K68" s="5">
        <v>0.94444444444444398</v>
      </c>
      <c r="L68" s="5">
        <v>0.87179487179487103</v>
      </c>
      <c r="M68" s="5">
        <v>0.90780754825698595</v>
      </c>
      <c r="N68" s="5">
        <v>0.81609195402298795</v>
      </c>
    </row>
    <row r="69" spans="1:14" x14ac:dyDescent="0.25">
      <c r="A69" s="1" t="s">
        <v>44</v>
      </c>
      <c r="B69" s="5">
        <v>0.88638089768706696</v>
      </c>
      <c r="C69" s="5">
        <v>0.88220183207859404</v>
      </c>
      <c r="D69" s="5">
        <v>0.86837355430595597</v>
      </c>
      <c r="E69" s="5">
        <v>0.80782284780226798</v>
      </c>
      <c r="F69" s="5">
        <v>0.63754998423648401</v>
      </c>
      <c r="I69" s="1" t="s">
        <v>44</v>
      </c>
      <c r="J69" s="5">
        <v>0.88556244250841398</v>
      </c>
      <c r="K69" s="5">
        <v>0.88716695209789298</v>
      </c>
      <c r="L69" s="5">
        <v>0.87045814647041397</v>
      </c>
      <c r="M69" s="5">
        <v>0.812718566974162</v>
      </c>
      <c r="N69" s="5">
        <v>0.64741372780147999</v>
      </c>
    </row>
  </sheetData>
  <mergeCells count="8">
    <mergeCell ref="A25:F25"/>
    <mergeCell ref="A2:F2"/>
    <mergeCell ref="A48:F48"/>
    <mergeCell ref="I2:N2"/>
    <mergeCell ref="A1:F1"/>
    <mergeCell ref="I1:N1"/>
    <mergeCell ref="I25:N25"/>
    <mergeCell ref="I48:N48"/>
  </mergeCells>
  <conditionalFormatting sqref="B2:F1048576">
    <cfRule type="colorScale" priority="3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J2:N2">
    <cfRule type="colorScale" priority="2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J3:N69">
    <cfRule type="colorScale" priority="1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0AC05-0E05-482F-8AFE-200C8B605317}">
  <dimension ref="A1:M65"/>
  <sheetViews>
    <sheetView tabSelected="1" topLeftCell="A37" zoomScaleNormal="100" workbookViewId="0">
      <selection activeCell="F43" sqref="F43"/>
    </sheetView>
  </sheetViews>
  <sheetFormatPr defaultRowHeight="15" x14ac:dyDescent="0.25"/>
  <cols>
    <col min="1" max="1" width="19.28515625" customWidth="1"/>
    <col min="2" max="2" width="14.85546875" style="5" customWidth="1"/>
    <col min="3" max="3" width="20.5703125" style="5" customWidth="1"/>
    <col min="4" max="4" width="16.5703125" style="5" customWidth="1"/>
    <col min="5" max="5" width="15.7109375" customWidth="1"/>
    <col min="6" max="6" width="14.7109375" customWidth="1"/>
    <col min="7" max="7" width="12" style="5" customWidth="1"/>
    <col min="8" max="8" width="15.7109375" style="5" customWidth="1"/>
    <col min="9" max="9" width="14.5703125" style="5" customWidth="1"/>
    <col min="10" max="10" width="13.42578125" style="5" customWidth="1"/>
    <col min="11" max="12" width="9.140625" style="5"/>
    <col min="13" max="13" width="12.42578125" style="5" customWidth="1"/>
  </cols>
  <sheetData>
    <row r="1" spans="1:13" x14ac:dyDescent="0.25">
      <c r="A1" s="12" t="s">
        <v>23</v>
      </c>
      <c r="B1" s="12"/>
      <c r="C1" s="12"/>
      <c r="D1" s="12"/>
      <c r="F1" s="14" t="s">
        <v>45</v>
      </c>
      <c r="G1" s="14"/>
      <c r="I1" s="13" t="s">
        <v>46</v>
      </c>
      <c r="J1" s="13"/>
      <c r="L1" s="13" t="s">
        <v>47</v>
      </c>
      <c r="M1" s="13"/>
    </row>
    <row r="2" spans="1:13" x14ac:dyDescent="0.25">
      <c r="A2" s="3" t="s">
        <v>24</v>
      </c>
      <c r="B2" s="6" t="s">
        <v>18</v>
      </c>
      <c r="C2" s="6" t="s">
        <v>48</v>
      </c>
      <c r="D2" s="6" t="s">
        <v>49</v>
      </c>
      <c r="F2" s="3" t="s">
        <v>24</v>
      </c>
      <c r="G2" s="6" t="s">
        <v>18</v>
      </c>
      <c r="I2" s="6" t="s">
        <v>24</v>
      </c>
      <c r="J2" s="6" t="s">
        <v>18</v>
      </c>
      <c r="L2" s="6" t="s">
        <v>24</v>
      </c>
      <c r="M2" s="6" t="s">
        <v>18</v>
      </c>
    </row>
    <row r="3" spans="1:13" x14ac:dyDescent="0.25">
      <c r="A3" s="3" t="s">
        <v>25</v>
      </c>
      <c r="B3" s="5">
        <v>0.94074074074073999</v>
      </c>
      <c r="C3" s="7">
        <f>B3-G3</f>
        <v>0.22109117878829998</v>
      </c>
      <c r="D3" s="7">
        <f>B3-M3</f>
        <v>7.3245916724177018E-2</v>
      </c>
      <c r="F3" s="3" t="s">
        <v>25</v>
      </c>
      <c r="G3" s="7">
        <v>0.71964956195244001</v>
      </c>
      <c r="I3" s="6" t="s">
        <v>25</v>
      </c>
      <c r="J3" s="7">
        <v>0.74439324116743399</v>
      </c>
      <c r="L3" s="6" t="s">
        <v>25</v>
      </c>
      <c r="M3" s="7">
        <v>0.86749482401656297</v>
      </c>
    </row>
    <row r="4" spans="1:13" x14ac:dyDescent="0.25">
      <c r="A4" s="3" t="s">
        <v>26</v>
      </c>
      <c r="B4" s="5">
        <v>0.60816326530612197</v>
      </c>
      <c r="C4" s="7">
        <f t="shared" ref="C4:C21" si="0">B4-G4</f>
        <v>-1.683673469387803E-2</v>
      </c>
      <c r="D4" s="7">
        <f t="shared" ref="D4:D21" si="1">B4-M4</f>
        <v>2.4829931972788932E-2</v>
      </c>
      <c r="F4" s="3" t="s">
        <v>26</v>
      </c>
      <c r="G4" s="7">
        <v>0.625</v>
      </c>
      <c r="I4" s="6" t="s">
        <v>26</v>
      </c>
      <c r="J4" s="7">
        <v>0.79639448568398696</v>
      </c>
      <c r="L4" s="6" t="s">
        <v>26</v>
      </c>
      <c r="M4" s="7">
        <v>0.58333333333333304</v>
      </c>
    </row>
    <row r="5" spans="1:13" x14ac:dyDescent="0.25">
      <c r="A5" s="3" t="s">
        <v>27</v>
      </c>
      <c r="B5" s="5">
        <v>0.81626794258373203</v>
      </c>
      <c r="C5" s="7">
        <f t="shared" si="0"/>
        <v>0.10138822770401801</v>
      </c>
      <c r="D5" s="7">
        <f t="shared" si="1"/>
        <v>0.30076122707701702</v>
      </c>
      <c r="F5" s="3" t="s">
        <v>27</v>
      </c>
      <c r="G5" s="7">
        <v>0.71487971487971402</v>
      </c>
      <c r="I5" s="6" t="s">
        <v>27</v>
      </c>
      <c r="J5" s="7">
        <v>0.53079178885630496</v>
      </c>
      <c r="L5" s="6" t="s">
        <v>27</v>
      </c>
      <c r="M5" s="7">
        <v>0.51550671550671501</v>
      </c>
    </row>
    <row r="6" spans="1:13" x14ac:dyDescent="0.25">
      <c r="A6" s="3" t="s">
        <v>28</v>
      </c>
      <c r="B6" s="5">
        <v>0.85029239766081799</v>
      </c>
      <c r="C6" s="7">
        <f t="shared" si="0"/>
        <v>0.40089968511021101</v>
      </c>
      <c r="D6" s="7">
        <f t="shared" si="1"/>
        <v>-4.2530568846360639E-3</v>
      </c>
      <c r="F6" s="3" t="s">
        <v>28</v>
      </c>
      <c r="G6" s="7">
        <v>0.44939271255060698</v>
      </c>
      <c r="I6" s="6" t="s">
        <v>28</v>
      </c>
      <c r="J6" s="7">
        <v>0.36945812807881701</v>
      </c>
      <c r="L6" s="6" t="s">
        <v>28</v>
      </c>
      <c r="M6" s="7">
        <v>0.85454545454545405</v>
      </c>
    </row>
    <row r="7" spans="1:13" x14ac:dyDescent="0.25">
      <c r="A7" s="3" t="s">
        <v>29</v>
      </c>
      <c r="B7" s="5">
        <v>0.90588235294117603</v>
      </c>
      <c r="C7" s="7">
        <f t="shared" si="0"/>
        <v>5.7182589347796076E-2</v>
      </c>
      <c r="D7" s="7">
        <f t="shared" si="1"/>
        <v>3.7164404223227976E-2</v>
      </c>
      <c r="F7" s="3" t="s">
        <v>29</v>
      </c>
      <c r="G7" s="7">
        <v>0.84869976359337995</v>
      </c>
      <c r="I7" s="6" t="s">
        <v>29</v>
      </c>
      <c r="J7" s="7">
        <v>0.91028875805999399</v>
      </c>
      <c r="L7" s="6" t="s">
        <v>29</v>
      </c>
      <c r="M7" s="7">
        <v>0.86871794871794805</v>
      </c>
    </row>
    <row r="8" spans="1:13" x14ac:dyDescent="0.25">
      <c r="A8" s="3" t="s">
        <v>30</v>
      </c>
      <c r="B8" s="5">
        <v>0.79937304075235105</v>
      </c>
      <c r="C8" s="7">
        <f t="shared" si="0"/>
        <v>0.17264981699837501</v>
      </c>
      <c r="D8" s="7">
        <f t="shared" si="1"/>
        <v>-2.2849181469870916E-2</v>
      </c>
      <c r="F8" s="3" t="s">
        <v>30</v>
      </c>
      <c r="G8" s="7">
        <v>0.62672322375397604</v>
      </c>
      <c r="I8" s="6" t="s">
        <v>30</v>
      </c>
      <c r="J8" s="7">
        <v>0.527272727272727</v>
      </c>
      <c r="L8" s="6" t="s">
        <v>30</v>
      </c>
      <c r="M8" s="7">
        <v>0.82222222222222197</v>
      </c>
    </row>
    <row r="9" spans="1:13" x14ac:dyDescent="0.25">
      <c r="A9" s="3" t="s">
        <v>31</v>
      </c>
      <c r="B9" s="5">
        <v>0.75969962453066298</v>
      </c>
      <c r="C9" s="7">
        <f t="shared" si="0"/>
        <v>0.26491989445681596</v>
      </c>
      <c r="D9" s="7">
        <f t="shared" si="1"/>
        <v>-8.4163174983220568E-3</v>
      </c>
      <c r="F9" s="3" t="s">
        <v>31</v>
      </c>
      <c r="G9" s="7">
        <v>0.49477973007384701</v>
      </c>
      <c r="I9" s="6" t="s">
        <v>31</v>
      </c>
      <c r="J9" s="7">
        <v>0.54587717151945103</v>
      </c>
      <c r="L9" s="6" t="s">
        <v>31</v>
      </c>
      <c r="M9" s="7">
        <v>0.76811594202898503</v>
      </c>
    </row>
    <row r="10" spans="1:13" x14ac:dyDescent="0.25">
      <c r="A10" s="3" t="s">
        <v>32</v>
      </c>
      <c r="B10" s="5">
        <v>0.94871794871794801</v>
      </c>
      <c r="C10" s="7">
        <f t="shared" si="0"/>
        <v>0.25373617131396797</v>
      </c>
      <c r="D10" s="7">
        <f t="shared" si="1"/>
        <v>0.38986322973597598</v>
      </c>
      <c r="F10" s="3" t="s">
        <v>32</v>
      </c>
      <c r="G10" s="7">
        <v>0.69498177740398004</v>
      </c>
      <c r="I10" s="6" t="s">
        <v>32</v>
      </c>
      <c r="J10" s="7">
        <v>0.73431013431013403</v>
      </c>
      <c r="L10" s="6" t="s">
        <v>32</v>
      </c>
      <c r="M10" s="7">
        <v>0.55885471898197203</v>
      </c>
    </row>
    <row r="11" spans="1:13" x14ac:dyDescent="0.25">
      <c r="A11" s="3" t="s">
        <v>33</v>
      </c>
      <c r="B11" s="5">
        <v>0.68058838980824699</v>
      </c>
      <c r="C11" s="7">
        <f t="shared" si="0"/>
        <v>2.4338389808246985E-2</v>
      </c>
      <c r="D11" s="7">
        <f t="shared" si="1"/>
        <v>7.861117080975033E-3</v>
      </c>
      <c r="F11" s="3" t="s">
        <v>33</v>
      </c>
      <c r="G11" s="7">
        <v>0.65625</v>
      </c>
      <c r="I11" s="6" t="s">
        <v>33</v>
      </c>
      <c r="J11" s="7">
        <v>0.51417004048582904</v>
      </c>
      <c r="L11" s="6" t="s">
        <v>33</v>
      </c>
      <c r="M11" s="7">
        <v>0.67272727272727195</v>
      </c>
    </row>
    <row r="12" spans="1:13" x14ac:dyDescent="0.25">
      <c r="A12" s="3" t="s">
        <v>34</v>
      </c>
      <c r="B12" s="5">
        <v>1</v>
      </c>
      <c r="C12" s="7">
        <f t="shared" si="0"/>
        <v>0</v>
      </c>
      <c r="D12" s="7">
        <f t="shared" si="1"/>
        <v>2.1283671433322993E-2</v>
      </c>
      <c r="F12" s="3" t="s">
        <v>34</v>
      </c>
      <c r="G12" s="7">
        <v>1</v>
      </c>
      <c r="I12" s="6" t="s">
        <v>34</v>
      </c>
      <c r="J12" s="7">
        <v>0.97871632856667701</v>
      </c>
      <c r="L12" s="6" t="s">
        <v>34</v>
      </c>
      <c r="M12" s="7">
        <v>0.97871632856667701</v>
      </c>
    </row>
    <row r="13" spans="1:13" x14ac:dyDescent="0.25">
      <c r="A13" s="3" t="s">
        <v>35</v>
      </c>
      <c r="B13" s="5">
        <v>1</v>
      </c>
      <c r="C13" s="7">
        <f t="shared" si="0"/>
        <v>0</v>
      </c>
      <c r="D13" s="7">
        <f t="shared" si="1"/>
        <v>0</v>
      </c>
      <c r="F13" s="3" t="s">
        <v>35</v>
      </c>
      <c r="G13" s="7">
        <v>1</v>
      </c>
      <c r="I13" s="6" t="s">
        <v>35</v>
      </c>
      <c r="J13" s="7">
        <v>1</v>
      </c>
      <c r="L13" s="6" t="s">
        <v>35</v>
      </c>
      <c r="M13" s="7">
        <v>1</v>
      </c>
    </row>
    <row r="14" spans="1:13" x14ac:dyDescent="0.25">
      <c r="A14" s="3" t="s">
        <v>36</v>
      </c>
      <c r="B14" s="5">
        <v>0.61904761904761896</v>
      </c>
      <c r="C14" s="7">
        <f t="shared" si="0"/>
        <v>7.1274961597542985E-2</v>
      </c>
      <c r="D14" s="7">
        <f t="shared" si="1"/>
        <v>0.11596863645056499</v>
      </c>
      <c r="F14" s="3" t="s">
        <v>36</v>
      </c>
      <c r="G14" s="7">
        <v>0.54777265745007597</v>
      </c>
      <c r="I14" s="6" t="s">
        <v>36</v>
      </c>
      <c r="J14" s="7">
        <v>0.25</v>
      </c>
      <c r="L14" s="6" t="s">
        <v>36</v>
      </c>
      <c r="M14" s="7">
        <v>0.50307898259705397</v>
      </c>
    </row>
    <row r="15" spans="1:13" x14ac:dyDescent="0.25">
      <c r="A15" s="3" t="s">
        <v>37</v>
      </c>
      <c r="B15" s="5">
        <v>1</v>
      </c>
      <c r="C15" s="7">
        <f t="shared" si="0"/>
        <v>0.10174880763116101</v>
      </c>
      <c r="D15" s="7">
        <f t="shared" si="1"/>
        <v>3.7758112094395946E-2</v>
      </c>
      <c r="F15" s="3" t="s">
        <v>37</v>
      </c>
      <c r="G15" s="7">
        <v>0.89825119236883899</v>
      </c>
      <c r="I15" s="6" t="s">
        <v>37</v>
      </c>
      <c r="J15" s="7">
        <v>0.87070707070706999</v>
      </c>
      <c r="L15" s="6" t="s">
        <v>37</v>
      </c>
      <c r="M15" s="7">
        <v>0.96224188790560405</v>
      </c>
    </row>
    <row r="16" spans="1:13" x14ac:dyDescent="0.25">
      <c r="A16" s="3" t="s">
        <v>38</v>
      </c>
      <c r="B16" s="5">
        <v>0.89825119236883899</v>
      </c>
      <c r="C16" s="7">
        <f t="shared" si="0"/>
        <v>-6.7832538420773969E-2</v>
      </c>
      <c r="D16" s="7">
        <f t="shared" si="1"/>
        <v>-3.7102342984696057E-2</v>
      </c>
      <c r="F16" s="3" t="s">
        <v>38</v>
      </c>
      <c r="G16" s="7">
        <v>0.96608373078961296</v>
      </c>
      <c r="I16" s="6" t="s">
        <v>38</v>
      </c>
      <c r="J16" s="7">
        <v>0.96608373078961296</v>
      </c>
      <c r="L16" s="6" t="s">
        <v>38</v>
      </c>
      <c r="M16" s="7">
        <v>0.93535353535353505</v>
      </c>
    </row>
    <row r="17" spans="1:13" x14ac:dyDescent="0.25">
      <c r="A17" s="3" t="s">
        <v>39</v>
      </c>
      <c r="B17" s="5">
        <v>0.73569321533923304</v>
      </c>
      <c r="C17" s="7">
        <f t="shared" si="0"/>
        <v>5.6093715965016E-2</v>
      </c>
      <c r="D17" s="7">
        <f t="shared" si="1"/>
        <v>-6.1476354125079569E-3</v>
      </c>
      <c r="F17" s="3" t="s">
        <v>39</v>
      </c>
      <c r="G17" s="7">
        <v>0.67959949937421704</v>
      </c>
      <c r="I17" s="6" t="s">
        <v>39</v>
      </c>
      <c r="J17" s="7">
        <v>0.76029962546816399</v>
      </c>
      <c r="L17" s="6" t="s">
        <v>39</v>
      </c>
      <c r="M17" s="7">
        <v>0.741840850751741</v>
      </c>
    </row>
    <row r="18" spans="1:13" x14ac:dyDescent="0.25">
      <c r="A18" s="3" t="s">
        <v>40</v>
      </c>
      <c r="B18" s="5">
        <v>0.65170068027210803</v>
      </c>
      <c r="C18" s="7">
        <f t="shared" si="0"/>
        <v>3.1964178076293037E-2</v>
      </c>
      <c r="D18" s="7">
        <f t="shared" si="1"/>
        <v>3.7824360513436073E-2</v>
      </c>
      <c r="F18" s="3" t="s">
        <v>40</v>
      </c>
      <c r="G18" s="7">
        <v>0.619736502195815</v>
      </c>
      <c r="I18" s="6" t="s">
        <v>40</v>
      </c>
      <c r="J18" s="7">
        <v>0.53046251993620397</v>
      </c>
      <c r="L18" s="6" t="s">
        <v>40</v>
      </c>
      <c r="M18" s="7">
        <v>0.61387631975867196</v>
      </c>
    </row>
    <row r="19" spans="1:13" x14ac:dyDescent="0.25">
      <c r="A19" s="3" t="s">
        <v>41</v>
      </c>
      <c r="B19" s="5">
        <v>0.98099198099198104</v>
      </c>
      <c r="C19" s="7">
        <f t="shared" si="0"/>
        <v>6.4325314325315075E-2</v>
      </c>
      <c r="D19" s="7">
        <f t="shared" si="1"/>
        <v>3.8016038016038034E-2</v>
      </c>
      <c r="F19" s="3" t="s">
        <v>41</v>
      </c>
      <c r="G19" s="7">
        <v>0.91666666666666596</v>
      </c>
      <c r="I19" s="6" t="s">
        <v>41</v>
      </c>
      <c r="J19" s="7">
        <v>0.89792663476874002</v>
      </c>
      <c r="L19" s="6" t="s">
        <v>41</v>
      </c>
      <c r="M19" s="7">
        <v>0.942975942975943</v>
      </c>
    </row>
    <row r="20" spans="1:13" x14ac:dyDescent="0.25">
      <c r="A20" s="3" t="s">
        <v>42</v>
      </c>
      <c r="B20" s="5">
        <v>0.92727272727272703</v>
      </c>
      <c r="C20" s="7">
        <f t="shared" si="0"/>
        <v>-3.5300372142476943E-2</v>
      </c>
      <c r="D20" s="7">
        <f t="shared" si="1"/>
        <v>-1.5703215703215978E-2</v>
      </c>
      <c r="F20" s="3" t="s">
        <v>42</v>
      </c>
      <c r="G20" s="7">
        <v>0.96257309941520397</v>
      </c>
      <c r="I20" s="6" t="s">
        <v>42</v>
      </c>
      <c r="J20" s="7">
        <v>0.94468452895419097</v>
      </c>
      <c r="L20" s="6" t="s">
        <v>42</v>
      </c>
      <c r="M20" s="7">
        <v>0.942975942975943</v>
      </c>
    </row>
    <row r="21" spans="1:13" x14ac:dyDescent="0.25">
      <c r="A21" s="3" t="s">
        <v>43</v>
      </c>
      <c r="B21" s="5">
        <v>0.90495990495990497</v>
      </c>
      <c r="C21" s="7">
        <f t="shared" si="0"/>
        <v>0.14628720511073501</v>
      </c>
      <c r="D21" s="7">
        <f t="shared" si="1"/>
        <v>-1.4939969883648985E-2</v>
      </c>
      <c r="F21" s="3" t="s">
        <v>43</v>
      </c>
      <c r="G21" s="7">
        <v>0.75867269984916996</v>
      </c>
      <c r="I21" s="6" t="s">
        <v>43</v>
      </c>
      <c r="J21" s="7">
        <v>0.72571428571428498</v>
      </c>
      <c r="L21" s="6" t="s">
        <v>43</v>
      </c>
      <c r="M21" s="7">
        <v>0.91989987484355396</v>
      </c>
    </row>
    <row r="22" spans="1:13" x14ac:dyDescent="0.25">
      <c r="C22"/>
      <c r="D22"/>
    </row>
    <row r="23" spans="1:13" x14ac:dyDescent="0.25">
      <c r="A23" s="12" t="s">
        <v>22</v>
      </c>
      <c r="B23" s="12"/>
      <c r="C23" s="12"/>
      <c r="D23" s="12"/>
    </row>
    <row r="24" spans="1:13" x14ac:dyDescent="0.25">
      <c r="A24" s="3" t="s">
        <v>24</v>
      </c>
      <c r="B24" s="6" t="s">
        <v>18</v>
      </c>
      <c r="C24" s="6" t="s">
        <v>50</v>
      </c>
      <c r="D24" s="6" t="s">
        <v>49</v>
      </c>
    </row>
    <row r="25" spans="1:13" x14ac:dyDescent="0.25">
      <c r="A25" s="3" t="s">
        <v>25</v>
      </c>
      <c r="B25" s="5">
        <v>0.70833333333333304</v>
      </c>
      <c r="C25" s="7">
        <f>B25-G3</f>
        <v>-1.1316228619106972E-2</v>
      </c>
      <c r="D25" s="7">
        <f>B25-J3</f>
        <v>-3.6059907834100957E-2</v>
      </c>
    </row>
    <row r="26" spans="1:13" x14ac:dyDescent="0.25">
      <c r="A26" s="3" t="s">
        <v>26</v>
      </c>
      <c r="B26" s="5">
        <v>0.79220779220779203</v>
      </c>
      <c r="C26" s="7">
        <f t="shared" ref="C26:C43" si="2">B26-G4</f>
        <v>0.16720779220779203</v>
      </c>
      <c r="D26" s="7">
        <f t="shared" ref="D26:D43" si="3">B26-J4</f>
        <v>-4.1866934761949359E-3</v>
      </c>
    </row>
    <row r="27" spans="1:13" x14ac:dyDescent="0.25">
      <c r="A27" s="3" t="s">
        <v>27</v>
      </c>
      <c r="B27" s="5">
        <v>0.71964956195244001</v>
      </c>
      <c r="C27" s="7">
        <f t="shared" si="2"/>
        <v>4.7698470727259856E-3</v>
      </c>
      <c r="D27" s="7">
        <f t="shared" si="3"/>
        <v>0.18885777309613505</v>
      </c>
    </row>
    <row r="28" spans="1:13" x14ac:dyDescent="0.25">
      <c r="A28" s="3" t="s">
        <v>28</v>
      </c>
      <c r="B28" s="5">
        <v>0.34117647058823503</v>
      </c>
      <c r="C28" s="7">
        <f t="shared" si="2"/>
        <v>-0.10821624196237195</v>
      </c>
      <c r="D28" s="7">
        <f t="shared" si="3"/>
        <v>-2.828165749058198E-2</v>
      </c>
    </row>
    <row r="29" spans="1:13" x14ac:dyDescent="0.25">
      <c r="A29" s="3" t="s">
        <v>29</v>
      </c>
      <c r="B29" s="5">
        <v>0.75553857906799005</v>
      </c>
      <c r="C29" s="7">
        <f t="shared" si="2"/>
        <v>-9.3161184525389906E-2</v>
      </c>
      <c r="D29" s="7">
        <f t="shared" si="3"/>
        <v>-0.15475017899200394</v>
      </c>
    </row>
    <row r="30" spans="1:13" x14ac:dyDescent="0.25">
      <c r="A30" s="3" t="s">
        <v>30</v>
      </c>
      <c r="B30" s="5">
        <v>0.65280289330922203</v>
      </c>
      <c r="C30" s="7">
        <f t="shared" si="2"/>
        <v>2.6079669555245988E-2</v>
      </c>
      <c r="D30" s="7">
        <f t="shared" si="3"/>
        <v>0.12553016603649503</v>
      </c>
    </row>
    <row r="31" spans="1:13" x14ac:dyDescent="0.25">
      <c r="A31" s="3" t="s">
        <v>31</v>
      </c>
      <c r="B31" s="5">
        <v>0.606976172930483</v>
      </c>
      <c r="C31" s="7">
        <f t="shared" si="2"/>
        <v>0.11219644285663599</v>
      </c>
      <c r="D31" s="7">
        <f t="shared" si="3"/>
        <v>6.1099001411031972E-2</v>
      </c>
    </row>
    <row r="32" spans="1:13" x14ac:dyDescent="0.25">
      <c r="A32" s="3" t="s">
        <v>32</v>
      </c>
      <c r="B32" s="5">
        <v>0.69498177740398004</v>
      </c>
      <c r="C32" s="7">
        <f t="shared" si="2"/>
        <v>0</v>
      </c>
      <c r="D32" s="7">
        <f t="shared" si="3"/>
        <v>-3.9328356906153994E-2</v>
      </c>
    </row>
    <row r="33" spans="1:4" x14ac:dyDescent="0.25">
      <c r="A33" s="3" t="s">
        <v>33</v>
      </c>
      <c r="B33" s="5">
        <v>0.63841807909604498</v>
      </c>
      <c r="C33" s="7">
        <f t="shared" si="2"/>
        <v>-1.7831920903955023E-2</v>
      </c>
      <c r="D33" s="7">
        <f t="shared" si="3"/>
        <v>0.12424803861021594</v>
      </c>
    </row>
    <row r="34" spans="1:4" x14ac:dyDescent="0.25">
      <c r="A34" s="3" t="s">
        <v>34</v>
      </c>
      <c r="B34" s="5">
        <v>1</v>
      </c>
      <c r="C34" s="7">
        <f t="shared" si="2"/>
        <v>0</v>
      </c>
      <c r="D34" s="7">
        <f t="shared" si="3"/>
        <v>2.1283671433322993E-2</v>
      </c>
    </row>
    <row r="35" spans="1:4" x14ac:dyDescent="0.25">
      <c r="A35" s="3" t="s">
        <v>35</v>
      </c>
      <c r="B35" s="5">
        <v>1</v>
      </c>
      <c r="C35" s="7">
        <f t="shared" si="2"/>
        <v>0</v>
      </c>
      <c r="D35" s="7">
        <f t="shared" si="3"/>
        <v>0</v>
      </c>
    </row>
    <row r="36" spans="1:4" x14ac:dyDescent="0.25">
      <c r="A36" s="3" t="s">
        <v>36</v>
      </c>
      <c r="B36" s="5">
        <v>0.40427672955974803</v>
      </c>
      <c r="C36" s="7">
        <f t="shared" si="2"/>
        <v>-0.14349592789032795</v>
      </c>
      <c r="D36" s="7">
        <f t="shared" si="3"/>
        <v>0.15427672955974803</v>
      </c>
    </row>
    <row r="37" spans="1:4" x14ac:dyDescent="0.25">
      <c r="A37" s="3" t="s">
        <v>37</v>
      </c>
      <c r="B37" s="5">
        <v>0.89825119236883899</v>
      </c>
      <c r="C37" s="7">
        <f t="shared" si="2"/>
        <v>0</v>
      </c>
      <c r="D37" s="7">
        <f t="shared" si="3"/>
        <v>2.7544121661769005E-2</v>
      </c>
    </row>
    <row r="38" spans="1:4" x14ac:dyDescent="0.25">
      <c r="A38" s="3" t="s">
        <v>38</v>
      </c>
      <c r="B38" s="5">
        <v>0.92857142857142805</v>
      </c>
      <c r="C38" s="7">
        <f t="shared" si="2"/>
        <v>-3.7512302218184912E-2</v>
      </c>
      <c r="D38" s="7">
        <f t="shared" si="3"/>
        <v>-3.7512302218184912E-2</v>
      </c>
    </row>
    <row r="39" spans="1:4" x14ac:dyDescent="0.25">
      <c r="A39" s="3" t="s">
        <v>39</v>
      </c>
      <c r="B39" s="5">
        <v>0.554088742207554</v>
      </c>
      <c r="C39" s="7">
        <f t="shared" si="2"/>
        <v>-0.12551075716666305</v>
      </c>
      <c r="D39" s="7">
        <f t="shared" si="3"/>
        <v>-0.20621088326060999</v>
      </c>
    </row>
    <row r="40" spans="1:4" x14ac:dyDescent="0.25">
      <c r="A40" s="3" t="s">
        <v>40</v>
      </c>
      <c r="B40" s="5">
        <v>0.60083160083160003</v>
      </c>
      <c r="C40" s="7">
        <f t="shared" si="2"/>
        <v>-1.8904901364214965E-2</v>
      </c>
      <c r="D40" s="7">
        <f t="shared" si="3"/>
        <v>7.0369080895396063E-2</v>
      </c>
    </row>
    <row r="41" spans="1:4" x14ac:dyDescent="0.25">
      <c r="A41" s="3" t="s">
        <v>41</v>
      </c>
      <c r="B41" s="5">
        <v>0.89792663476874002</v>
      </c>
      <c r="C41" s="7">
        <f t="shared" si="2"/>
        <v>-1.8740031897925946E-2</v>
      </c>
      <c r="D41" s="7">
        <f t="shared" si="3"/>
        <v>0</v>
      </c>
    </row>
    <row r="42" spans="1:4" x14ac:dyDescent="0.25">
      <c r="A42" s="3" t="s">
        <v>42</v>
      </c>
      <c r="B42" s="5">
        <v>0.96456256921373196</v>
      </c>
      <c r="C42" s="7">
        <f t="shared" si="2"/>
        <v>1.9894697985279874E-3</v>
      </c>
      <c r="D42" s="7">
        <f t="shared" si="3"/>
        <v>1.9878040259540986E-2</v>
      </c>
    </row>
    <row r="43" spans="1:4" x14ac:dyDescent="0.25">
      <c r="A43" s="3" t="s">
        <v>43</v>
      </c>
      <c r="B43" s="5">
        <v>0.72331227136680998</v>
      </c>
      <c r="C43" s="7">
        <f t="shared" si="2"/>
        <v>-3.5360428482359985E-2</v>
      </c>
      <c r="D43" s="7">
        <f t="shared" si="3"/>
        <v>-2.4020143474750011E-3</v>
      </c>
    </row>
    <row r="44" spans="1:4" x14ac:dyDescent="0.25">
      <c r="C44"/>
      <c r="D44"/>
    </row>
    <row r="45" spans="1:4" x14ac:dyDescent="0.25">
      <c r="A45" s="12" t="s">
        <v>21</v>
      </c>
      <c r="B45" s="12"/>
      <c r="C45" s="12"/>
      <c r="D45" s="12"/>
    </row>
    <row r="46" spans="1:4" x14ac:dyDescent="0.25">
      <c r="A46" s="3" t="s">
        <v>24</v>
      </c>
      <c r="B46" s="6" t="s">
        <v>18</v>
      </c>
      <c r="C46" s="6" t="s">
        <v>50</v>
      </c>
      <c r="D46" s="6" t="s">
        <v>48</v>
      </c>
    </row>
    <row r="47" spans="1:4" x14ac:dyDescent="0.25">
      <c r="A47" s="3" t="s">
        <v>25</v>
      </c>
      <c r="B47" s="5">
        <v>0.91455273698264306</v>
      </c>
      <c r="C47" s="7">
        <f>B47-M3</f>
        <v>4.7057912966080084E-2</v>
      </c>
      <c r="D47" s="7">
        <f>B3-J3</f>
        <v>0.19634749957330599</v>
      </c>
    </row>
    <row r="48" spans="1:4" x14ac:dyDescent="0.25">
      <c r="A48" s="3" t="s">
        <v>26</v>
      </c>
      <c r="B48" s="5">
        <v>0.82683982683982604</v>
      </c>
      <c r="C48" s="7">
        <f t="shared" ref="C48:C65" si="4">B48-M4</f>
        <v>0.243506493506493</v>
      </c>
      <c r="D48" s="7">
        <f t="shared" ref="D48:D65" si="5">B4-J4</f>
        <v>-0.18823122037786499</v>
      </c>
    </row>
    <row r="49" spans="1:4" x14ac:dyDescent="0.25">
      <c r="A49" s="3" t="s">
        <v>27</v>
      </c>
      <c r="B49" s="5">
        <v>0.49951124144672499</v>
      </c>
      <c r="C49" s="7">
        <f t="shared" si="4"/>
        <v>-1.5995474059990022E-2</v>
      </c>
      <c r="D49" s="7">
        <f t="shared" si="5"/>
        <v>0.28547615372742707</v>
      </c>
    </row>
    <row r="50" spans="1:4" x14ac:dyDescent="0.25">
      <c r="A50" s="3" t="s">
        <v>28</v>
      </c>
      <c r="B50" s="5">
        <v>0.875</v>
      </c>
      <c r="C50" s="7">
        <f t="shared" si="4"/>
        <v>2.0454545454545947E-2</v>
      </c>
      <c r="D50" s="7">
        <f t="shared" si="5"/>
        <v>0.48083426958200098</v>
      </c>
    </row>
    <row r="51" spans="1:4" x14ac:dyDescent="0.25">
      <c r="A51" s="3" t="s">
        <v>29</v>
      </c>
      <c r="B51" s="5">
        <v>0.80780780780780703</v>
      </c>
      <c r="C51" s="7">
        <f t="shared" si="4"/>
        <v>-6.091014091014102E-2</v>
      </c>
      <c r="D51" s="7">
        <f t="shared" si="5"/>
        <v>-4.4064051188179576E-3</v>
      </c>
    </row>
    <row r="52" spans="1:4" x14ac:dyDescent="0.25">
      <c r="A52" s="3" t="s">
        <v>30</v>
      </c>
      <c r="B52" s="5">
        <v>0.76149068322981295</v>
      </c>
      <c r="C52" s="7">
        <f t="shared" si="4"/>
        <v>-6.0731538992409018E-2</v>
      </c>
      <c r="D52" s="7">
        <f t="shared" si="5"/>
        <v>0.27210031347962405</v>
      </c>
    </row>
    <row r="53" spans="1:4" x14ac:dyDescent="0.25">
      <c r="A53" s="3" t="s">
        <v>31</v>
      </c>
      <c r="B53" s="5">
        <v>0.68831168831168799</v>
      </c>
      <c r="C53" s="7">
        <f t="shared" si="4"/>
        <v>-7.9804253717297047E-2</v>
      </c>
      <c r="D53" s="7">
        <f t="shared" si="5"/>
        <v>0.21382245301121194</v>
      </c>
    </row>
    <row r="54" spans="1:4" x14ac:dyDescent="0.25">
      <c r="A54" s="3" t="s">
        <v>32</v>
      </c>
      <c r="B54" s="5">
        <v>0.52492046659597003</v>
      </c>
      <c r="C54" s="7">
        <f t="shared" si="4"/>
        <v>-3.3934252386002006E-2</v>
      </c>
      <c r="D54" s="7">
        <f t="shared" si="5"/>
        <v>0.21440781440781398</v>
      </c>
    </row>
    <row r="55" spans="1:4" x14ac:dyDescent="0.25">
      <c r="A55" s="3" t="s">
        <v>33</v>
      </c>
      <c r="B55" s="5">
        <v>0.74439324116743399</v>
      </c>
      <c r="C55" s="7">
        <f t="shared" si="4"/>
        <v>7.1665968440162042E-2</v>
      </c>
      <c r="D55" s="7">
        <f t="shared" si="5"/>
        <v>0.16641834932241795</v>
      </c>
    </row>
    <row r="56" spans="1:4" x14ac:dyDescent="0.25">
      <c r="A56" s="3" t="s">
        <v>34</v>
      </c>
      <c r="B56" s="5">
        <v>0.97871632856667701</v>
      </c>
      <c r="C56" s="7">
        <f t="shared" si="4"/>
        <v>0</v>
      </c>
      <c r="D56" s="7">
        <f t="shared" si="5"/>
        <v>2.1283671433322993E-2</v>
      </c>
    </row>
    <row r="57" spans="1:4" x14ac:dyDescent="0.25">
      <c r="A57" s="3" t="s">
        <v>35</v>
      </c>
      <c r="B57" s="5">
        <v>1</v>
      </c>
      <c r="C57" s="7">
        <f t="shared" si="4"/>
        <v>0</v>
      </c>
      <c r="D57" s="7">
        <f t="shared" si="5"/>
        <v>0</v>
      </c>
    </row>
    <row r="58" spans="1:4" x14ac:dyDescent="0.25">
      <c r="A58" s="3" t="s">
        <v>36</v>
      </c>
      <c r="B58" s="5">
        <v>0.694902823615694</v>
      </c>
      <c r="C58" s="7">
        <f t="shared" si="4"/>
        <v>0.19182384101864003</v>
      </c>
      <c r="D58" s="7">
        <f t="shared" si="5"/>
        <v>0.36904761904761896</v>
      </c>
    </row>
    <row r="59" spans="1:4" x14ac:dyDescent="0.25">
      <c r="A59" s="3" t="s">
        <v>37</v>
      </c>
      <c r="B59" s="5">
        <v>0.96224188790560405</v>
      </c>
      <c r="C59" s="7">
        <f t="shared" si="4"/>
        <v>0</v>
      </c>
      <c r="D59" s="7">
        <f t="shared" si="5"/>
        <v>0.12929292929293001</v>
      </c>
    </row>
    <row r="60" spans="1:4" x14ac:dyDescent="0.25">
      <c r="A60" s="3" t="s">
        <v>38</v>
      </c>
      <c r="B60" s="5">
        <v>0.89825119236883899</v>
      </c>
      <c r="C60" s="7">
        <f t="shared" si="4"/>
        <v>-3.7102342984696057E-2</v>
      </c>
      <c r="D60" s="7">
        <f t="shared" si="5"/>
        <v>-6.7832538420773969E-2</v>
      </c>
    </row>
    <row r="61" spans="1:4" x14ac:dyDescent="0.25">
      <c r="A61" s="3" t="s">
        <v>39</v>
      </c>
      <c r="B61" s="5">
        <v>0.64444444444444404</v>
      </c>
      <c r="C61" s="7">
        <f t="shared" si="4"/>
        <v>-9.7396406307296957E-2</v>
      </c>
      <c r="D61" s="7">
        <f t="shared" si="5"/>
        <v>-2.4606410128930944E-2</v>
      </c>
    </row>
    <row r="62" spans="1:4" x14ac:dyDescent="0.25">
      <c r="A62" s="3" t="s">
        <v>40</v>
      </c>
      <c r="B62" s="5">
        <v>0.83959899749373401</v>
      </c>
      <c r="C62" s="7">
        <f t="shared" si="4"/>
        <v>0.22572267773506205</v>
      </c>
      <c r="D62" s="7">
        <f t="shared" si="5"/>
        <v>0.12123816033590407</v>
      </c>
    </row>
    <row r="63" spans="1:4" x14ac:dyDescent="0.25">
      <c r="A63" s="3" t="s">
        <v>41</v>
      </c>
      <c r="B63" s="5">
        <v>0.96257309941520397</v>
      </c>
      <c r="C63" s="7">
        <f t="shared" si="4"/>
        <v>1.9597156439260965E-2</v>
      </c>
      <c r="D63" s="7">
        <f t="shared" si="5"/>
        <v>8.3065346223241021E-2</v>
      </c>
    </row>
    <row r="64" spans="1:4" x14ac:dyDescent="0.25">
      <c r="A64" s="3" t="s">
        <v>42</v>
      </c>
      <c r="B64" s="5">
        <v>0.91028875805999399</v>
      </c>
      <c r="C64" s="7">
        <f t="shared" si="4"/>
        <v>-3.2687184915949019E-2</v>
      </c>
      <c r="D64" s="7">
        <f t="shared" si="5"/>
        <v>-1.7411801681463945E-2</v>
      </c>
    </row>
    <row r="65" spans="1:4" x14ac:dyDescent="0.25">
      <c r="A65" s="3" t="s">
        <v>43</v>
      </c>
      <c r="B65" s="5">
        <v>0.90780754825698595</v>
      </c>
      <c r="C65" s="7">
        <f t="shared" si="4"/>
        <v>-1.2092326586568003E-2</v>
      </c>
      <c r="D65" s="7">
        <f t="shared" si="5"/>
        <v>0.17924561924561999</v>
      </c>
    </row>
  </sheetData>
  <mergeCells count="6">
    <mergeCell ref="A1:D1"/>
    <mergeCell ref="A23:D23"/>
    <mergeCell ref="A45:D45"/>
    <mergeCell ref="I1:J1"/>
    <mergeCell ref="L1:M1"/>
    <mergeCell ref="F1:G1"/>
  </mergeCells>
  <conditionalFormatting sqref="A2:A21 H1:I1 K1:L1 G23:M1048576 G2:M21">
    <cfRule type="colorScale" priority="43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A24:A43">
    <cfRule type="colorScale" priority="42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A46:A65">
    <cfRule type="colorScale" priority="41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C1:D1 C3:D21 C23:D23 C25:D43 C45:D45 C47:D65 C1591:D1048576">
    <cfRule type="cellIs" dxfId="2" priority="4" operator="equal">
      <formula>0</formula>
    </cfRule>
    <cfRule type="cellIs" dxfId="1" priority="5" operator="lessThan">
      <formula>0</formula>
    </cfRule>
    <cfRule type="cellIs" dxfId="0" priority="6" operator="greaterThan">
      <formula>0</formula>
    </cfRule>
  </conditionalFormatting>
  <conditionalFormatting sqref="F2:F21">
    <cfRule type="colorScale" priority="56">
      <colorScale>
        <cfvo type="num" val="0"/>
        <cfvo type="percentile" val="50"/>
        <cfvo type="num" val="1"/>
        <color rgb="FFF8696B"/>
        <color rgb="FFFFEB84"/>
        <color rgb="FF63BE7B"/>
      </colorScale>
    </cfRule>
    <cfRule type="colorScale" priority="57">
      <colorScale>
        <cfvo type="num" val="0"/>
        <cfvo type="percentile" val="50"/>
        <cfvo type="num" val="100"/>
        <color rgb="FFF8696B"/>
        <color rgb="FFFFEB84"/>
        <color rgb="FF63BE7B"/>
      </colorScale>
    </cfRule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21">
    <cfRule type="colorScale" priority="84">
      <colorScale>
        <cfvo type="num" val="0"/>
        <cfvo type="percentile" val="50"/>
        <cfvo type="num" val="1"/>
        <color rgb="FFF8696B"/>
        <color rgb="FFFFEB84"/>
        <color rgb="FF63BE7B"/>
      </colorScale>
    </cfRule>
    <cfRule type="colorScale" priority="85">
      <colorScale>
        <cfvo type="num" val="0"/>
        <cfvo type="percentile" val="50"/>
        <cfvo type="num" val="100"/>
        <color rgb="FFF8696B"/>
        <color rgb="FFFFEB84"/>
        <color rgb="FF63BE7B"/>
      </colorScale>
    </cfRule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21">
    <cfRule type="colorScale" priority="23">
      <colorScale>
        <cfvo type="num" val="0"/>
        <cfvo type="percentile" val="50"/>
        <cfvo type="num" val="1"/>
        <color rgb="FFF8696B"/>
        <color rgb="FFFFEB84"/>
        <color rgb="FF63BE7B"/>
      </colorScale>
    </cfRule>
    <cfRule type="colorScale" priority="24">
      <colorScale>
        <cfvo type="num" val="0"/>
        <cfvo type="percentile" val="50"/>
        <cfvo type="num" val="100"/>
        <color rgb="FFF8696B"/>
        <color rgb="FFFFEB84"/>
        <color rgb="FF63BE7B"/>
      </colorScale>
    </cfRule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21">
    <cfRule type="colorScale" priority="91">
      <colorScale>
        <cfvo type="num" val="0"/>
        <cfvo type="percentile" val="50"/>
        <cfvo type="num" val="1"/>
        <color rgb="FFF8696B"/>
        <color rgb="FFFFEB84"/>
        <color rgb="FF63BE7B"/>
      </colorScale>
    </cfRule>
    <cfRule type="colorScale" priority="92">
      <colorScale>
        <cfvo type="num" val="0"/>
        <cfvo type="percentile" val="50"/>
        <cfvo type="num" val="100"/>
        <color rgb="FFF8696B"/>
        <color rgb="FFFFEB84"/>
        <color rgb="FF63BE7B"/>
      </colorScale>
    </cfRule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21">
    <cfRule type="colorScale" priority="20">
      <colorScale>
        <cfvo type="num" val="0"/>
        <cfvo type="percentile" val="50"/>
        <cfvo type="num" val="1"/>
        <color rgb="FFF8696B"/>
        <color rgb="FFFFEB84"/>
        <color rgb="FF63BE7B"/>
      </colorScale>
    </cfRule>
    <cfRule type="colorScale" priority="21">
      <colorScale>
        <cfvo type="num" val="0"/>
        <cfvo type="percentile" val="50"/>
        <cfvo type="num" val="100"/>
        <color rgb="FFF8696B"/>
        <color rgb="FFFFEB84"/>
        <color rgb="FF63BE7B"/>
      </colorScale>
    </cfRule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21">
    <cfRule type="colorScale" priority="94">
      <colorScale>
        <cfvo type="num" val="0"/>
        <cfvo type="percentile" val="50"/>
        <cfvo type="num" val="1"/>
        <color rgb="FFF8696B"/>
        <color rgb="FFFFEB84"/>
        <color rgb="FF63BE7B"/>
      </colorScale>
    </cfRule>
    <cfRule type="colorScale" priority="95">
      <colorScale>
        <cfvo type="num" val="0"/>
        <cfvo type="percentile" val="50"/>
        <cfvo type="num" val="100"/>
        <color rgb="FFF8696B"/>
        <color rgb="FFFFEB84"/>
        <color rgb="FF63BE7B"/>
      </colorScale>
    </cfRule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:B21">
    <cfRule type="colorScale" priority="3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B25:B43">
    <cfRule type="colorScale" priority="2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B47:B65">
    <cfRule type="colorScale" priority="1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</vt:lpstr>
      <vt:lpstr>gemma4-26b-q4</vt:lpstr>
      <vt:lpstr>gemma4-26b-q4-diff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Artjoms Kučerjavijs</cp:lastModifiedBy>
  <dcterms:created xsi:type="dcterms:W3CDTF">2015-06-05T18:17:20Z</dcterms:created>
  <dcterms:modified xsi:type="dcterms:W3CDTF">2026-04-20T19:34:57Z</dcterms:modified>
</cp:coreProperties>
</file>