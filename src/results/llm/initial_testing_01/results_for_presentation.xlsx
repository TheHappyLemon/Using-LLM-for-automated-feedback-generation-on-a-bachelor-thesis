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initial_testing_01\"/>
    </mc:Choice>
  </mc:AlternateContent>
  <xr:revisionPtr revIDLastSave="0" documentId="13_ncr:1_{E037CFFB-7A8F-484D-BC3D-EC178FFE9B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all" sheetId="1" r:id="rId1"/>
    <sheet name="GPT-OSS-20B" sheetId="2" r:id="rId2"/>
    <sheet name="GPT-OSS-2OB-di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C56" i="1"/>
  <c r="D56" i="1"/>
  <c r="E56" i="1"/>
  <c r="F56" i="1"/>
  <c r="G56" i="1"/>
  <c r="B56" i="1"/>
  <c r="C37" i="1"/>
  <c r="D37" i="1"/>
  <c r="E37" i="1"/>
  <c r="F37" i="1"/>
  <c r="G37" i="1"/>
  <c r="B37" i="1"/>
  <c r="C18" i="1"/>
  <c r="D18" i="1"/>
  <c r="E18" i="1"/>
  <c r="F18" i="1"/>
  <c r="G18" i="1"/>
  <c r="B18" i="1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47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5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3" i="3"/>
</calcChain>
</file>

<file path=xl/sharedStrings.xml><?xml version="1.0" encoding="utf-8"?>
<sst xmlns="http://schemas.openxmlformats.org/spreadsheetml/2006/main" count="305" uniqueCount="56">
  <si>
    <t>Model</t>
  </si>
  <si>
    <t>gemma2-9b-q8</t>
  </si>
  <si>
    <t>gemma3-12b-qat</t>
  </si>
  <si>
    <t>gemma3-12b-q8</t>
  </si>
  <si>
    <t>gemma3-27b-qat</t>
  </si>
  <si>
    <t>llama3.1-8b-q8</t>
  </si>
  <si>
    <t>llama3.1-8b-fp16</t>
  </si>
  <si>
    <t>mistral-nemo-12b-q8</t>
  </si>
  <si>
    <t>mistral-small-22b-q6</t>
  </si>
  <si>
    <t>mistral-small-24b-q4</t>
  </si>
  <si>
    <t>qwen3-14b-q8-thinking</t>
  </si>
  <si>
    <t>qwen3-30b-q4-thinking</t>
  </si>
  <si>
    <t>deepseek-r1-14b-q8</t>
  </si>
  <si>
    <t>gpt-oss-20b-thinking</t>
  </si>
  <si>
    <t>eurollm-9b-q8</t>
  </si>
  <si>
    <t>magistral-24b-q4</t>
  </si>
  <si>
    <t>Precision_positive</t>
  </si>
  <si>
    <t>Recall_positive</t>
  </si>
  <si>
    <t>F1_macro</t>
  </si>
  <si>
    <t>F1_positive</t>
  </si>
  <si>
    <t>CohenKappa</t>
  </si>
  <si>
    <t>MCC</t>
  </si>
  <si>
    <t>Model vs human3</t>
  </si>
  <si>
    <t>Model vs human2</t>
  </si>
  <si>
    <t>Model vs human1</t>
  </si>
  <si>
    <t>Question</t>
  </si>
  <si>
    <t>Significance</t>
  </si>
  <si>
    <t>State_of_the_art</t>
  </si>
  <si>
    <t>Gap</t>
  </si>
  <si>
    <t>Problem</t>
  </si>
  <si>
    <t>References</t>
  </si>
  <si>
    <t>Purpose</t>
  </si>
  <si>
    <t>Intention</t>
  </si>
  <si>
    <t>Structure_goal</t>
  </si>
  <si>
    <t>Congruence</t>
  </si>
  <si>
    <t>Outlook</t>
  </si>
  <si>
    <t>Quantity</t>
  </si>
  <si>
    <t>Completeness</t>
  </si>
  <si>
    <t>Format</t>
  </si>
  <si>
    <t>Structure_tasks</t>
  </si>
  <si>
    <t>Clarity</t>
  </si>
  <si>
    <t>Relevance</t>
  </si>
  <si>
    <t>Chapters</t>
  </si>
  <si>
    <t>Description</t>
  </si>
  <si>
    <t>Structure_afterTasks</t>
  </si>
  <si>
    <t>Average</t>
  </si>
  <si>
    <t>Human1 vs Human2</t>
  </si>
  <si>
    <t>Human2 vs human3</t>
  </si>
  <si>
    <t>Human1 vs human3</t>
  </si>
  <si>
    <t>Diff to human2</t>
  </si>
  <si>
    <t>Diff to human3</t>
  </si>
  <si>
    <t>Diff to human1</t>
  </si>
  <si>
    <t>MAX</t>
  </si>
  <si>
    <t>LEADERBORD</t>
  </si>
  <si>
    <t>MODEL</t>
  </si>
  <si>
    <t>TOP-1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</si>
</sst>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>
      <selection activeCell="I15" sqref="I15"/>
    </sheetView>
  </sheetViews>
  <sheetFormatPr defaultRowHeight="15" x14ac:dyDescent="0.25"/>
  <cols>
    <col min="1" max="1" width="32.7109375" style="3" customWidth="1"/>
    <col min="2" max="2" width="27" style="3" customWidth="1"/>
    <col min="3" max="3" width="18.42578125" style="3" customWidth="1"/>
    <col min="4" max="4" width="22.5703125" style="3" customWidth="1"/>
    <col min="5" max="5" width="17.85546875" style="3" customWidth="1"/>
    <col min="6" max="6" width="16.42578125" style="3" customWidth="1"/>
    <col min="7" max="7" width="14.28515625" style="3" customWidth="1"/>
    <col min="11" max="11" width="20.42578125" customWidth="1"/>
    <col min="12" max="12" width="15.5703125" customWidth="1"/>
  </cols>
  <sheetData>
    <row r="1" spans="1:12" x14ac:dyDescent="0.25">
      <c r="A1" s="8" t="s">
        <v>24</v>
      </c>
      <c r="B1" s="8"/>
      <c r="C1" s="8"/>
      <c r="D1" s="8"/>
      <c r="E1" s="8"/>
      <c r="F1" s="8"/>
      <c r="G1" s="8"/>
    </row>
    <row r="2" spans="1:12" s="1" customFormat="1" x14ac:dyDescent="0.25">
      <c r="A2" s="2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</row>
    <row r="3" spans="1:12" x14ac:dyDescent="0.25">
      <c r="A3" s="2" t="s">
        <v>1</v>
      </c>
      <c r="B3" s="3">
        <v>0.79975124378109397</v>
      </c>
      <c r="C3" s="3">
        <v>0.88324175824175799</v>
      </c>
      <c r="D3" s="3">
        <v>0.78304612706701404</v>
      </c>
      <c r="E3" s="3">
        <v>0.83942558746736295</v>
      </c>
      <c r="F3" s="3">
        <v>0.56790237588980297</v>
      </c>
      <c r="G3" s="3">
        <v>0.573031189205507</v>
      </c>
      <c r="K3" s="10" t="s">
        <v>53</v>
      </c>
      <c r="L3" s="10"/>
    </row>
    <row r="4" spans="1:12" x14ac:dyDescent="0.25">
      <c r="A4" s="2" t="s">
        <v>2</v>
      </c>
      <c r="B4" s="3">
        <v>0.82074263764404598</v>
      </c>
      <c r="C4" s="3">
        <v>0.88049450549450503</v>
      </c>
      <c r="D4" s="3">
        <v>0.80181604486479396</v>
      </c>
      <c r="E4" s="3">
        <v>0.84956925115970805</v>
      </c>
      <c r="F4" s="3">
        <v>0.60442987182720698</v>
      </c>
      <c r="G4" s="3">
        <v>0.60702436320925701</v>
      </c>
      <c r="K4" s="1" t="s">
        <v>54</v>
      </c>
      <c r="L4" s="1" t="s">
        <v>55</v>
      </c>
    </row>
    <row r="5" spans="1:12" x14ac:dyDescent="0.25">
      <c r="A5" s="2" t="s">
        <v>3</v>
      </c>
      <c r="B5" s="3">
        <v>0.82845744680850997</v>
      </c>
      <c r="C5" s="3">
        <v>0.85576923076922995</v>
      </c>
      <c r="D5" s="3">
        <v>0.79804678628208003</v>
      </c>
      <c r="E5" s="3">
        <v>0.84189189189189095</v>
      </c>
      <c r="F5" s="3">
        <v>0.59625862695241505</v>
      </c>
      <c r="G5" s="3">
        <v>0.59677049842303898</v>
      </c>
      <c r="K5" s="2" t="s">
        <v>4</v>
      </c>
      <c r="L5">
        <f>(5+1+5)</f>
        <v>11</v>
      </c>
    </row>
    <row r="6" spans="1:12" x14ac:dyDescent="0.25">
      <c r="A6" s="2" t="s">
        <v>4</v>
      </c>
      <c r="B6" s="3">
        <v>0.81430219146482097</v>
      </c>
      <c r="C6" s="2">
        <v>0.969780219780219</v>
      </c>
      <c r="D6" s="2">
        <v>0.83331423242435398</v>
      </c>
      <c r="E6" s="2">
        <v>0.88526645768025003</v>
      </c>
      <c r="F6" s="2">
        <v>0.67138435366112903</v>
      </c>
      <c r="G6" s="2">
        <v>0.69332966827870102</v>
      </c>
      <c r="K6" s="2" t="s">
        <v>13</v>
      </c>
      <c r="L6">
        <f>(3+5+1)</f>
        <v>9</v>
      </c>
    </row>
    <row r="7" spans="1:12" x14ac:dyDescent="0.25">
      <c r="A7" s="2" t="s">
        <v>5</v>
      </c>
      <c r="B7" s="3">
        <v>0.78079710144927505</v>
      </c>
      <c r="C7" s="3">
        <v>0.59203296703296704</v>
      </c>
      <c r="D7" s="3">
        <v>0.65529513888888802</v>
      </c>
      <c r="E7" s="3">
        <v>0.67343750000000002</v>
      </c>
      <c r="F7" s="3">
        <v>0.32477469818058102</v>
      </c>
      <c r="G7" s="3">
        <v>0.33875378937587902</v>
      </c>
    </row>
    <row r="8" spans="1:12" x14ac:dyDescent="0.25">
      <c r="A8" s="2" t="s">
        <v>6</v>
      </c>
      <c r="B8" s="3">
        <v>0.79928315412186302</v>
      </c>
      <c r="C8" s="3">
        <v>0.61263736263736202</v>
      </c>
      <c r="D8" s="3">
        <v>0.67490955083473703</v>
      </c>
      <c r="E8" s="3">
        <v>0.69362363919129</v>
      </c>
      <c r="F8" s="3">
        <v>0.36232377869585503</v>
      </c>
      <c r="G8" s="3">
        <v>0.37686930653137302</v>
      </c>
    </row>
    <row r="9" spans="1:12" x14ac:dyDescent="0.25">
      <c r="A9" s="2" t="s">
        <v>7</v>
      </c>
      <c r="B9" s="3">
        <v>0.80547112462005999</v>
      </c>
      <c r="C9" s="3">
        <v>0.72802197802197799</v>
      </c>
      <c r="D9" s="3">
        <v>0.72656364243362304</v>
      </c>
      <c r="E9" s="3">
        <v>0.76479076479076402</v>
      </c>
      <c r="F9" s="3">
        <v>0.45496942232390303</v>
      </c>
      <c r="G9" s="3">
        <v>0.45811749134135799</v>
      </c>
    </row>
    <row r="10" spans="1:12" x14ac:dyDescent="0.25">
      <c r="A10" s="2" t="s">
        <v>8</v>
      </c>
      <c r="B10" s="3">
        <v>0.79880239520957996</v>
      </c>
      <c r="C10" s="3">
        <v>0.91620879120879095</v>
      </c>
      <c r="D10" s="3">
        <v>0.79498279767965596</v>
      </c>
      <c r="E10" s="3">
        <v>0.85348688419705698</v>
      </c>
      <c r="F10" s="3">
        <v>0.59339298647290994</v>
      </c>
      <c r="G10" s="3">
        <v>0.604401145582392</v>
      </c>
    </row>
    <row r="11" spans="1:12" x14ac:dyDescent="0.25">
      <c r="A11" s="2" t="s">
        <v>9</v>
      </c>
      <c r="B11" s="3">
        <v>0.84036144578313199</v>
      </c>
      <c r="C11" s="3">
        <v>0.76648351648351598</v>
      </c>
      <c r="D11" s="3">
        <v>0.76816976127320902</v>
      </c>
      <c r="E11" s="3">
        <v>0.80172413793103403</v>
      </c>
      <c r="F11" s="3">
        <v>0.53764768118497597</v>
      </c>
      <c r="G11" s="3">
        <v>0.54076455696704495</v>
      </c>
    </row>
    <row r="12" spans="1:12" x14ac:dyDescent="0.25">
      <c r="A12" s="2" t="s">
        <v>10</v>
      </c>
      <c r="B12" s="3">
        <v>0.87339743589743501</v>
      </c>
      <c r="C12" s="3">
        <v>0.74862637362637297</v>
      </c>
      <c r="D12" s="3">
        <v>0.78181021257944305</v>
      </c>
      <c r="E12" s="3">
        <v>0.80621301775147902</v>
      </c>
      <c r="F12" s="3">
        <v>0.56682909850330598</v>
      </c>
      <c r="G12" s="3">
        <v>0.57539884220945703</v>
      </c>
    </row>
    <row r="13" spans="1:12" x14ac:dyDescent="0.25">
      <c r="A13" s="2" t="s">
        <v>11</v>
      </c>
      <c r="B13" s="3">
        <v>0.843653250773993</v>
      </c>
      <c r="C13" s="3">
        <v>0.74862637362637297</v>
      </c>
      <c r="D13" s="3">
        <v>0.76243660968073002</v>
      </c>
      <c r="E13" s="3">
        <v>0.79330422125181899</v>
      </c>
      <c r="F13" s="3">
        <v>0.52706078268109902</v>
      </c>
      <c r="G13" s="3">
        <v>0.53204455891968405</v>
      </c>
    </row>
    <row r="14" spans="1:12" x14ac:dyDescent="0.25">
      <c r="A14" s="2" t="s">
        <v>12</v>
      </c>
      <c r="B14" s="3">
        <v>0.78571428571428503</v>
      </c>
      <c r="C14" s="3">
        <v>0.93681318681318604</v>
      </c>
      <c r="D14" s="3">
        <v>0.78856231487810402</v>
      </c>
      <c r="E14" s="3">
        <v>0.85463659147869597</v>
      </c>
      <c r="F14" s="3">
        <v>0.58324666729696495</v>
      </c>
      <c r="G14" s="3">
        <v>0.60261461928525195</v>
      </c>
    </row>
    <row r="15" spans="1:12" x14ac:dyDescent="0.25">
      <c r="A15" s="2" t="s">
        <v>13</v>
      </c>
      <c r="B15" s="2">
        <v>0.87784090909090895</v>
      </c>
      <c r="C15" s="3">
        <v>0.84890109890109799</v>
      </c>
      <c r="D15" s="2">
        <v>0.83356424581005495</v>
      </c>
      <c r="E15" s="3">
        <v>0.86312849162011096</v>
      </c>
      <c r="F15" s="2">
        <v>0.667262330235882</v>
      </c>
      <c r="G15" s="3">
        <v>0.667816856359709</v>
      </c>
    </row>
    <row r="16" spans="1:12" x14ac:dyDescent="0.25">
      <c r="A16" s="2" t="s">
        <v>14</v>
      </c>
      <c r="B16" s="3">
        <v>0.75824175824175799</v>
      </c>
      <c r="C16" s="3">
        <v>0.66346153846153799</v>
      </c>
      <c r="D16" s="3">
        <v>0.666873332852714</v>
      </c>
      <c r="E16" s="3">
        <v>0.70769230769230695</v>
      </c>
      <c r="F16" s="3">
        <v>0.33751338125095498</v>
      </c>
      <c r="G16" s="3">
        <v>0.34143321028151502</v>
      </c>
    </row>
    <row r="17" spans="1:7" x14ac:dyDescent="0.25">
      <c r="A17" s="2" t="s">
        <v>15</v>
      </c>
      <c r="B17" s="3">
        <v>0.79761904761904701</v>
      </c>
      <c r="C17" s="3">
        <v>0.82829670329670302</v>
      </c>
      <c r="D17" s="3">
        <v>0.75970975923209005</v>
      </c>
      <c r="E17" s="3">
        <v>0.81266846361185896</v>
      </c>
      <c r="F17" s="3">
        <v>0.51968718741474895</v>
      </c>
      <c r="G17" s="3">
        <v>0.52029637344789303</v>
      </c>
    </row>
    <row r="18" spans="1:7" x14ac:dyDescent="0.25">
      <c r="A18" s="9" t="s">
        <v>52</v>
      </c>
      <c r="B18" s="4">
        <f>MAX(B3:B17)</f>
        <v>0.87784090909090895</v>
      </c>
      <c r="C18" s="4">
        <f t="shared" ref="C18:G18" si="0">MAX(C3:C17)</f>
        <v>0.969780219780219</v>
      </c>
      <c r="D18" s="4">
        <f t="shared" si="0"/>
        <v>0.83356424581005495</v>
      </c>
      <c r="E18" s="4">
        <f t="shared" si="0"/>
        <v>0.88526645768025003</v>
      </c>
      <c r="F18" s="4">
        <f t="shared" si="0"/>
        <v>0.67138435366112903</v>
      </c>
      <c r="G18" s="4">
        <f t="shared" si="0"/>
        <v>0.69332966827870102</v>
      </c>
    </row>
    <row r="20" spans="1:7" x14ac:dyDescent="0.25">
      <c r="A20" s="8" t="s">
        <v>23</v>
      </c>
      <c r="B20" s="8"/>
      <c r="C20" s="8"/>
      <c r="D20" s="8"/>
      <c r="E20" s="8"/>
      <c r="F20" s="8"/>
      <c r="G20" s="8"/>
    </row>
    <row r="21" spans="1:7" x14ac:dyDescent="0.25">
      <c r="A21" s="2" t="s">
        <v>0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</row>
    <row r="22" spans="1:7" x14ac:dyDescent="0.25">
      <c r="A22" s="2" t="s">
        <v>1</v>
      </c>
      <c r="B22" s="3">
        <v>0.62935323383084496</v>
      </c>
      <c r="C22" s="3">
        <v>0.88771929824561402</v>
      </c>
      <c r="D22" s="3">
        <v>0.69719032642402901</v>
      </c>
      <c r="E22" s="3">
        <v>0.73653566229985401</v>
      </c>
      <c r="F22" s="3">
        <v>0.41636436920596498</v>
      </c>
      <c r="G22" s="3">
        <v>0.44958683986051401</v>
      </c>
    </row>
    <row r="23" spans="1:7" x14ac:dyDescent="0.25">
      <c r="A23" s="2" t="s">
        <v>2</v>
      </c>
      <c r="B23" s="3">
        <v>0.63252240717029395</v>
      </c>
      <c r="C23" s="3">
        <v>0.86666666666666603</v>
      </c>
      <c r="D23" s="3">
        <v>0.69775497781134399</v>
      </c>
      <c r="E23" s="3">
        <v>0.73131014063656496</v>
      </c>
      <c r="F23" s="3">
        <v>0.41339258660741302</v>
      </c>
      <c r="G23" s="3">
        <v>0.43974560639767402</v>
      </c>
    </row>
    <row r="24" spans="1:7" x14ac:dyDescent="0.25">
      <c r="A24" s="2" t="s">
        <v>3</v>
      </c>
      <c r="B24" s="3">
        <v>0.63430851063829696</v>
      </c>
      <c r="C24" s="3">
        <v>0.83684210526315705</v>
      </c>
      <c r="D24" s="3">
        <v>0.69505117825843898</v>
      </c>
      <c r="E24" s="3">
        <v>0.721633888048411</v>
      </c>
      <c r="F24" s="3">
        <v>0.40356564019448898</v>
      </c>
      <c r="G24" s="3">
        <v>0.42235858766475398</v>
      </c>
    </row>
    <row r="25" spans="1:7" x14ac:dyDescent="0.25">
      <c r="A25" s="2" t="s">
        <v>4</v>
      </c>
      <c r="B25" s="3">
        <v>0.62514417531718502</v>
      </c>
      <c r="C25" s="2">
        <v>0.95087719298245599</v>
      </c>
      <c r="D25" s="3">
        <v>0.69978773477687595</v>
      </c>
      <c r="E25" s="3">
        <v>0.75434933890048705</v>
      </c>
      <c r="F25" s="3">
        <v>0.43446480424551898</v>
      </c>
      <c r="G25" s="3">
        <v>0.49396627355914302</v>
      </c>
    </row>
    <row r="26" spans="1:7" x14ac:dyDescent="0.25">
      <c r="A26" s="2" t="s">
        <v>5</v>
      </c>
      <c r="B26" s="3">
        <v>0.61231884057970998</v>
      </c>
      <c r="C26" s="3">
        <v>0.59298245614034994</v>
      </c>
      <c r="D26" s="3">
        <v>0.63101876420241898</v>
      </c>
      <c r="E26" s="3">
        <v>0.60249554367201397</v>
      </c>
      <c r="F26" s="3">
        <v>0.26220016542597102</v>
      </c>
      <c r="G26" s="3">
        <v>0.26231648271815899</v>
      </c>
    </row>
    <row r="27" spans="1:7" x14ac:dyDescent="0.25">
      <c r="A27" s="2" t="s">
        <v>6</v>
      </c>
      <c r="B27" s="3">
        <v>0.62903225806451601</v>
      </c>
      <c r="C27" s="3">
        <v>0.61578947368421</v>
      </c>
      <c r="D27" s="3">
        <v>0.64782665448374799</v>
      </c>
      <c r="E27" s="3">
        <v>0.62234042553191404</v>
      </c>
      <c r="F27" s="3">
        <v>0.2957222566646</v>
      </c>
      <c r="G27" s="3">
        <v>0.29578046879019199</v>
      </c>
    </row>
    <row r="28" spans="1:7" x14ac:dyDescent="0.25">
      <c r="A28" s="2" t="s">
        <v>7</v>
      </c>
      <c r="B28" s="3">
        <v>0.63677811550151897</v>
      </c>
      <c r="C28" s="3">
        <v>0.73508771929824501</v>
      </c>
      <c r="D28" s="3">
        <v>0.67924507883601803</v>
      </c>
      <c r="E28" s="3">
        <v>0.68241042345276803</v>
      </c>
      <c r="F28" s="3">
        <v>0.36183268562078102</v>
      </c>
      <c r="G28" s="3">
        <v>0.36564336078955301</v>
      </c>
    </row>
    <row r="29" spans="1:7" x14ac:dyDescent="0.25">
      <c r="A29" s="2" t="s">
        <v>8</v>
      </c>
      <c r="B29" s="3">
        <v>0.62874251497005895</v>
      </c>
      <c r="C29" s="3">
        <v>0.92105263157894701</v>
      </c>
      <c r="D29" s="3">
        <v>0.70083198480873998</v>
      </c>
      <c r="E29" s="3">
        <v>0.74733096085409201</v>
      </c>
      <c r="F29" s="3">
        <v>0.42943244600703101</v>
      </c>
      <c r="G29" s="3">
        <v>0.47463559338419897</v>
      </c>
    </row>
    <row r="30" spans="1:7" x14ac:dyDescent="0.25">
      <c r="A30" s="2" t="s">
        <v>9</v>
      </c>
      <c r="B30" s="3">
        <v>0.67319277108433695</v>
      </c>
      <c r="C30" s="3">
        <v>0.78421052631578902</v>
      </c>
      <c r="D30" s="3">
        <v>0.72033345689601502</v>
      </c>
      <c r="E30" s="3">
        <v>0.72447325769854098</v>
      </c>
      <c r="F30" s="3">
        <v>0.44399018806214202</v>
      </c>
      <c r="G30" s="3">
        <v>0.44933075746359702</v>
      </c>
    </row>
    <row r="31" spans="1:7" x14ac:dyDescent="0.25">
      <c r="A31" s="2" t="s">
        <v>10</v>
      </c>
      <c r="B31" s="3">
        <v>0.6875</v>
      </c>
      <c r="C31" s="3">
        <v>0.75263157894736799</v>
      </c>
      <c r="D31" s="3">
        <v>0.72359373604695498</v>
      </c>
      <c r="E31" s="3">
        <v>0.71859296482412005</v>
      </c>
      <c r="F31" s="3">
        <v>0.44827586206896503</v>
      </c>
      <c r="G31" s="3">
        <v>0.45004857536801401</v>
      </c>
    </row>
    <row r="32" spans="1:7" x14ac:dyDescent="0.25">
      <c r="A32" s="2" t="s">
        <v>11</v>
      </c>
      <c r="B32" s="3">
        <v>0.63467492260061897</v>
      </c>
      <c r="C32" s="3">
        <v>0.71929824561403499</v>
      </c>
      <c r="D32" s="3">
        <v>0.67434210526315697</v>
      </c>
      <c r="E32" s="3">
        <v>0.67434210526315697</v>
      </c>
      <c r="F32" s="3">
        <v>0.35121851320909198</v>
      </c>
      <c r="G32" s="3">
        <v>0.35397316821465402</v>
      </c>
    </row>
    <row r="33" spans="1:7" x14ac:dyDescent="0.25">
      <c r="A33" s="2" t="s">
        <v>12</v>
      </c>
      <c r="B33" s="3">
        <v>0.61635944700460799</v>
      </c>
      <c r="C33" s="3">
        <v>0.93859649122806998</v>
      </c>
      <c r="D33" s="3">
        <v>0.68693384227478904</v>
      </c>
      <c r="E33" s="3">
        <v>0.74408901251738502</v>
      </c>
      <c r="F33" s="3">
        <v>0.41049259110933101</v>
      </c>
      <c r="G33" s="3">
        <v>0.46715852866673502</v>
      </c>
    </row>
    <row r="34" spans="1:7" x14ac:dyDescent="0.25">
      <c r="A34" s="2" t="s">
        <v>13</v>
      </c>
      <c r="B34" s="2">
        <v>0.71022727272727204</v>
      </c>
      <c r="C34" s="3">
        <v>0.87719298245613997</v>
      </c>
      <c r="D34" s="2">
        <v>0.77415725158138105</v>
      </c>
      <c r="E34" s="2">
        <v>0.78492935635792704</v>
      </c>
      <c r="F34" s="2">
        <v>0.55374592833876202</v>
      </c>
      <c r="G34" s="2">
        <v>0.56742373669921198</v>
      </c>
    </row>
    <row r="35" spans="1:7" x14ac:dyDescent="0.25">
      <c r="A35" s="2" t="s">
        <v>14</v>
      </c>
      <c r="B35" s="3">
        <v>0.58869701726844503</v>
      </c>
      <c r="C35" s="3">
        <v>0.65789473684210498</v>
      </c>
      <c r="D35" s="3">
        <v>0.62415704309892905</v>
      </c>
      <c r="E35" s="3">
        <v>0.62137531068765495</v>
      </c>
      <c r="F35" s="3">
        <v>0.25058932048785398</v>
      </c>
      <c r="G35" s="3">
        <v>0.25211563258686998</v>
      </c>
    </row>
    <row r="36" spans="1:7" x14ac:dyDescent="0.25">
      <c r="A36" s="2" t="s">
        <v>15</v>
      </c>
      <c r="B36" s="3">
        <v>0.60978835978835899</v>
      </c>
      <c r="C36" s="3">
        <v>0.80877192982456103</v>
      </c>
      <c r="D36" s="3">
        <v>0.66502199711432697</v>
      </c>
      <c r="E36" s="3">
        <v>0.69532428355957698</v>
      </c>
      <c r="F36" s="3">
        <v>0.34548400162008902</v>
      </c>
      <c r="G36" s="3">
        <v>0.362325682285638</v>
      </c>
    </row>
    <row r="37" spans="1:7" x14ac:dyDescent="0.25">
      <c r="A37" s="9" t="s">
        <v>52</v>
      </c>
      <c r="B37" s="4">
        <f>MAX(B22:B36)</f>
        <v>0.71022727272727204</v>
      </c>
      <c r="C37" s="4">
        <f t="shared" ref="C37:G37" si="1">MAX(C22:C36)</f>
        <v>0.95087719298245599</v>
      </c>
      <c r="D37" s="4">
        <f t="shared" si="1"/>
        <v>0.77415725158138105</v>
      </c>
      <c r="E37" s="4">
        <f t="shared" si="1"/>
        <v>0.78492935635792704</v>
      </c>
      <c r="F37" s="4">
        <f t="shared" si="1"/>
        <v>0.55374592833876202</v>
      </c>
      <c r="G37" s="4">
        <f t="shared" si="1"/>
        <v>0.56742373669921198</v>
      </c>
    </row>
    <row r="39" spans="1:7" x14ac:dyDescent="0.25">
      <c r="A39" s="8" t="s">
        <v>22</v>
      </c>
      <c r="B39" s="8"/>
      <c r="C39" s="8"/>
      <c r="D39" s="8"/>
      <c r="E39" s="8"/>
      <c r="F39" s="8"/>
      <c r="G39" s="8"/>
    </row>
    <row r="40" spans="1:7" x14ac:dyDescent="0.25">
      <c r="A40" s="2" t="s">
        <v>0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21</v>
      </c>
    </row>
    <row r="41" spans="1:7" x14ac:dyDescent="0.25">
      <c r="A41" s="2" t="s">
        <v>1</v>
      </c>
      <c r="B41" s="3">
        <v>0.83955223880596996</v>
      </c>
      <c r="C41" s="3">
        <v>0.84586466165413499</v>
      </c>
      <c r="D41" s="3">
        <v>0.76954108569107804</v>
      </c>
      <c r="E41" s="3">
        <v>0.84269662921348298</v>
      </c>
      <c r="F41" s="3">
        <v>0.53909465020576097</v>
      </c>
      <c r="G41" s="3">
        <v>0.53912711399211499</v>
      </c>
    </row>
    <row r="42" spans="1:7" x14ac:dyDescent="0.25">
      <c r="A42" s="2" t="s">
        <v>2</v>
      </c>
      <c r="B42" s="3">
        <v>0.84379001280409704</v>
      </c>
      <c r="C42" s="3">
        <v>0.825814536340852</v>
      </c>
      <c r="D42" s="3">
        <v>0.76436330590465196</v>
      </c>
      <c r="E42" s="3">
        <v>0.83470550981633895</v>
      </c>
      <c r="F42" s="3">
        <v>0.52882771070743495</v>
      </c>
      <c r="G42" s="3">
        <v>0.52907692183310895</v>
      </c>
    </row>
    <row r="43" spans="1:7" x14ac:dyDescent="0.25">
      <c r="A43" s="2" t="s">
        <v>3</v>
      </c>
      <c r="B43" s="3">
        <v>0.84840425531914898</v>
      </c>
      <c r="C43" s="3">
        <v>0.79949874686716704</v>
      </c>
      <c r="D43" s="3">
        <v>0.75628410503986498</v>
      </c>
      <c r="E43" s="3">
        <v>0.82322580645161203</v>
      </c>
      <c r="F43" s="3">
        <v>0.51332149200710397</v>
      </c>
      <c r="G43" s="3">
        <v>0.51504351692912198</v>
      </c>
    </row>
    <row r="44" spans="1:7" x14ac:dyDescent="0.25">
      <c r="A44" s="2" t="s">
        <v>4</v>
      </c>
      <c r="B44" s="3">
        <v>0.84659746251441703</v>
      </c>
      <c r="C44" s="2">
        <v>0.91979949874686695</v>
      </c>
      <c r="D44" s="2">
        <v>0.81241841580824603</v>
      </c>
      <c r="E44" s="2">
        <v>0.88168168168168104</v>
      </c>
      <c r="F44" s="2">
        <v>0.62623028578204598</v>
      </c>
      <c r="G44" s="2">
        <v>0.63166660229242799</v>
      </c>
    </row>
    <row r="45" spans="1:7" x14ac:dyDescent="0.25">
      <c r="A45" s="2" t="s">
        <v>5</v>
      </c>
      <c r="B45" s="3">
        <v>0.80253623188405798</v>
      </c>
      <c r="C45" s="3">
        <v>0.55513784461152804</v>
      </c>
      <c r="D45" s="3">
        <v>0.61373040323132699</v>
      </c>
      <c r="E45" s="3">
        <v>0.65629629629629604</v>
      </c>
      <c r="F45" s="3">
        <v>0.258193445243804</v>
      </c>
      <c r="G45" s="3">
        <v>0.28082317217761799</v>
      </c>
    </row>
    <row r="46" spans="1:7" x14ac:dyDescent="0.25">
      <c r="A46" s="2" t="s">
        <v>6</v>
      </c>
      <c r="B46" s="3">
        <v>0.82078853046594902</v>
      </c>
      <c r="C46" s="3">
        <v>0.57393483709273097</v>
      </c>
      <c r="D46" s="3">
        <v>0.63329714555164396</v>
      </c>
      <c r="E46" s="3">
        <v>0.67551622418878998</v>
      </c>
      <c r="F46" s="3">
        <v>0.29444778512727998</v>
      </c>
      <c r="G46" s="3">
        <v>0.319018416662191</v>
      </c>
    </row>
    <row r="47" spans="1:7" x14ac:dyDescent="0.25">
      <c r="A47" s="2" t="s">
        <v>7</v>
      </c>
      <c r="B47" s="3">
        <v>0.85258358662613898</v>
      </c>
      <c r="C47" s="3">
        <v>0.70300751879699197</v>
      </c>
      <c r="D47" s="3">
        <v>0.71419564042514805</v>
      </c>
      <c r="E47" s="3">
        <v>0.77060439560439498</v>
      </c>
      <c r="F47" s="3">
        <v>0.43616796792572199</v>
      </c>
      <c r="G47" s="3">
        <v>0.44888432079016299</v>
      </c>
    </row>
    <row r="48" spans="1:7" x14ac:dyDescent="0.25">
      <c r="A48" s="2" t="s">
        <v>8</v>
      </c>
      <c r="B48" s="3">
        <v>0.84910179640718497</v>
      </c>
      <c r="C48" s="3">
        <v>0.88847117794486197</v>
      </c>
      <c r="D48" s="3">
        <v>0.79962705985053195</v>
      </c>
      <c r="E48" s="3">
        <v>0.86834047764849898</v>
      </c>
      <c r="F48" s="3">
        <v>0.59967415338065799</v>
      </c>
      <c r="G48" s="3">
        <v>0.60110235151715796</v>
      </c>
    </row>
    <row r="49" spans="1:7" x14ac:dyDescent="0.25">
      <c r="A49" s="2" t="s">
        <v>9</v>
      </c>
      <c r="B49" s="3">
        <v>0.86445783132530096</v>
      </c>
      <c r="C49" s="3">
        <v>0.71929824561403499</v>
      </c>
      <c r="D49" s="3">
        <v>0.73075718899403397</v>
      </c>
      <c r="E49" s="3">
        <v>0.78522571819425402</v>
      </c>
      <c r="F49" s="3">
        <v>0.46824724809483398</v>
      </c>
      <c r="G49" s="3">
        <v>0.48079013688613897</v>
      </c>
    </row>
    <row r="50" spans="1:7" x14ac:dyDescent="0.25">
      <c r="A50" s="2" t="s">
        <v>10</v>
      </c>
      <c r="B50" s="3">
        <v>0.87179487179487103</v>
      </c>
      <c r="C50" s="3">
        <v>0.68170426065162903</v>
      </c>
      <c r="D50" s="3">
        <v>0.71721324031137201</v>
      </c>
      <c r="E50" s="3">
        <v>0.76511954992967601</v>
      </c>
      <c r="F50" s="3">
        <v>0.44610281923714701</v>
      </c>
      <c r="G50" s="3">
        <v>0.465921900197036</v>
      </c>
    </row>
    <row r="51" spans="1:7" x14ac:dyDescent="0.25">
      <c r="A51" s="2" t="s">
        <v>11</v>
      </c>
      <c r="B51" s="3">
        <v>0.86222910216718196</v>
      </c>
      <c r="C51" s="3">
        <v>0.69799498746867095</v>
      </c>
      <c r="D51" s="3">
        <v>0.71873002343916403</v>
      </c>
      <c r="E51" s="3">
        <v>0.77146814404432096</v>
      </c>
      <c r="F51" s="3">
        <v>0.44642482700775798</v>
      </c>
      <c r="G51" s="3">
        <v>0.46168522923260102</v>
      </c>
    </row>
    <row r="52" spans="1:7" x14ac:dyDescent="0.25">
      <c r="A52" s="2" t="s">
        <v>12</v>
      </c>
      <c r="B52" s="3">
        <v>0.83986175115207296</v>
      </c>
      <c r="C52" s="3">
        <v>0.91353383458646598</v>
      </c>
      <c r="D52" s="3">
        <v>0.80180479502505897</v>
      </c>
      <c r="E52" s="2">
        <v>0.87515006002400897</v>
      </c>
      <c r="F52" s="3">
        <v>0.60512577123872802</v>
      </c>
      <c r="G52" s="3">
        <v>0.61054081430601603</v>
      </c>
    </row>
    <row r="53" spans="1:7" x14ac:dyDescent="0.25">
      <c r="A53" s="2" t="s">
        <v>13</v>
      </c>
      <c r="B53" s="2">
        <v>0.88636363636363602</v>
      </c>
      <c r="C53" s="3">
        <v>0.78195488721804496</v>
      </c>
      <c r="D53" s="3">
        <v>0.77888693211918103</v>
      </c>
      <c r="E53" s="3">
        <v>0.83089214380825505</v>
      </c>
      <c r="F53" s="3">
        <v>0.56055363321799301</v>
      </c>
      <c r="G53" s="3">
        <v>0.56811687940588296</v>
      </c>
    </row>
    <row r="54" spans="1:7" x14ac:dyDescent="0.25">
      <c r="A54" s="2" t="s">
        <v>14</v>
      </c>
      <c r="B54" s="3">
        <v>0.81789638932496</v>
      </c>
      <c r="C54" s="3">
        <v>0.65288220551378395</v>
      </c>
      <c r="D54" s="3">
        <v>0.66597492826912696</v>
      </c>
      <c r="E54" s="3">
        <v>0.72613240418118397</v>
      </c>
      <c r="F54" s="3">
        <v>0.34383804654074901</v>
      </c>
      <c r="G54" s="3">
        <v>0.35697716069371999</v>
      </c>
    </row>
    <row r="55" spans="1:7" x14ac:dyDescent="0.25">
      <c r="A55" s="2" t="s">
        <v>15</v>
      </c>
      <c r="B55" s="3">
        <v>0.83994708994709</v>
      </c>
      <c r="C55" s="3">
        <v>0.79573934837092697</v>
      </c>
      <c r="D55" s="3">
        <v>0.74689170133361404</v>
      </c>
      <c r="E55" s="3">
        <v>0.81724581724581702</v>
      </c>
      <c r="F55" s="3">
        <v>0.49443702714730697</v>
      </c>
      <c r="G55" s="3">
        <v>0.49582480155187098</v>
      </c>
    </row>
    <row r="56" spans="1:7" x14ac:dyDescent="0.25">
      <c r="A56" s="9" t="s">
        <v>52</v>
      </c>
      <c r="B56" s="4">
        <f>MAX(B41:B55)</f>
        <v>0.88636363636363602</v>
      </c>
      <c r="C56" s="4">
        <f t="shared" ref="C56:G56" si="2">MAX(C41:C55)</f>
        <v>0.91979949874686695</v>
      </c>
      <c r="D56" s="4">
        <f t="shared" si="2"/>
        <v>0.81241841580824603</v>
      </c>
      <c r="E56" s="4">
        <f t="shared" si="2"/>
        <v>0.88168168168168104</v>
      </c>
      <c r="F56" s="4">
        <f t="shared" si="2"/>
        <v>0.62623028578204598</v>
      </c>
      <c r="G56" s="4">
        <f t="shared" si="2"/>
        <v>0.63166660229242799</v>
      </c>
    </row>
  </sheetData>
  <mergeCells count="4">
    <mergeCell ref="A39:G39"/>
    <mergeCell ref="A20:G20"/>
    <mergeCell ref="A1:G1"/>
    <mergeCell ref="K3:L3"/>
  </mergeCells>
  <conditionalFormatting sqref="A1:G1048576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5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BC17-39A9-4D61-99CF-DD2438BA63A7}">
  <dimension ref="A1:P45"/>
  <sheetViews>
    <sheetView zoomScaleNormal="100" workbookViewId="0">
      <selection activeCell="M3" sqref="M3"/>
    </sheetView>
  </sheetViews>
  <sheetFormatPr defaultRowHeight="15" x14ac:dyDescent="0.25"/>
  <cols>
    <col min="1" max="1" width="23.85546875" style="3" customWidth="1"/>
    <col min="2" max="2" width="19.140625" style="3" customWidth="1"/>
    <col min="3" max="3" width="17.5703125" style="3" customWidth="1"/>
    <col min="4" max="4" width="15.7109375" style="3" customWidth="1"/>
    <col min="5" max="5" width="16.28515625" style="3" customWidth="1"/>
    <col min="6" max="6" width="19.42578125" style="3" customWidth="1"/>
    <col min="7" max="7" width="12.42578125" style="3" customWidth="1"/>
    <col min="8" max="9" width="9.140625" style="3"/>
    <col min="10" max="10" width="18.7109375" style="3" customWidth="1"/>
    <col min="11" max="11" width="23.85546875" style="3" customWidth="1"/>
    <col min="12" max="12" width="20.140625" style="3" customWidth="1"/>
    <col min="13" max="13" width="19" style="3" customWidth="1"/>
    <col min="14" max="14" width="17.28515625" style="3" customWidth="1"/>
    <col min="15" max="15" width="15" style="3" customWidth="1"/>
    <col min="16" max="16" width="15.42578125" style="3" customWidth="1"/>
  </cols>
  <sheetData>
    <row r="1" spans="1:16" x14ac:dyDescent="0.25">
      <c r="A1" s="8" t="s">
        <v>24</v>
      </c>
      <c r="B1" s="8"/>
      <c r="C1" s="8"/>
      <c r="D1" s="8"/>
      <c r="E1" s="8"/>
      <c r="F1" s="8"/>
      <c r="G1" s="8"/>
      <c r="J1" s="8" t="s">
        <v>22</v>
      </c>
      <c r="K1" s="8"/>
      <c r="L1" s="8"/>
      <c r="M1" s="8"/>
      <c r="N1" s="8"/>
      <c r="O1" s="8"/>
      <c r="P1" s="8"/>
    </row>
    <row r="2" spans="1:16" x14ac:dyDescent="0.25">
      <c r="A2" s="2" t="s">
        <v>25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J2" s="2" t="s">
        <v>25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</row>
    <row r="3" spans="1:16" x14ac:dyDescent="0.25">
      <c r="A3" s="2" t="s">
        <v>26</v>
      </c>
      <c r="B3" s="3">
        <v>0.85</v>
      </c>
      <c r="C3" s="3">
        <v>0.64150943396226401</v>
      </c>
      <c r="D3" s="3">
        <v>0.50844854070660495</v>
      </c>
      <c r="E3" s="3">
        <v>0.73118279569892397</v>
      </c>
      <c r="F3" s="3">
        <v>6.5420560747663503E-2</v>
      </c>
      <c r="G3" s="3">
        <v>7.4854537802440002E-2</v>
      </c>
      <c r="J3" s="2" t="s">
        <v>26</v>
      </c>
      <c r="K3" s="3">
        <v>0.82499999999999996</v>
      </c>
      <c r="L3" s="3">
        <v>0.63461538461538403</v>
      </c>
      <c r="M3" s="3">
        <v>0.49758454106280098</v>
      </c>
      <c r="N3" s="3">
        <v>0.71739130434782605</v>
      </c>
      <c r="O3" s="3">
        <v>3.7037037037037E-2</v>
      </c>
      <c r="P3" s="3">
        <v>4.13449115297361E-2</v>
      </c>
    </row>
    <row r="4" spans="1:16" x14ac:dyDescent="0.25">
      <c r="A4" s="2" t="s">
        <v>27</v>
      </c>
      <c r="B4" s="3">
        <v>0.31578947368421001</v>
      </c>
      <c r="C4" s="3">
        <v>0.66666666666666596</v>
      </c>
      <c r="D4" s="3">
        <v>0.63428571428571401</v>
      </c>
      <c r="E4" s="3">
        <v>0.42857142857142799</v>
      </c>
      <c r="F4" s="3">
        <v>0.29379310344827497</v>
      </c>
      <c r="G4" s="3">
        <v>0.32741151289660803</v>
      </c>
      <c r="J4" s="2" t="s">
        <v>27</v>
      </c>
      <c r="K4" s="3">
        <v>0.84210526315789402</v>
      </c>
      <c r="L4" s="3">
        <v>0.69565217391304301</v>
      </c>
      <c r="M4" s="3">
        <v>0.82281284606866001</v>
      </c>
      <c r="N4" s="3">
        <v>0.76190476190476097</v>
      </c>
      <c r="O4" s="3">
        <v>0.64718853362734197</v>
      </c>
      <c r="P4" s="3">
        <v>0.653731177269543</v>
      </c>
    </row>
    <row r="5" spans="1:16" x14ac:dyDescent="0.25">
      <c r="A5" s="2" t="s">
        <v>28</v>
      </c>
      <c r="B5" s="3">
        <v>0.86666666666666603</v>
      </c>
      <c r="C5" s="3">
        <v>0.72222222222222199</v>
      </c>
      <c r="D5" s="3">
        <v>0.85709728867623602</v>
      </c>
      <c r="E5" s="3">
        <v>0.78787878787878696</v>
      </c>
      <c r="F5" s="3">
        <v>0.71501272264630999</v>
      </c>
      <c r="G5" s="3">
        <v>0.72040625942068803</v>
      </c>
      <c r="J5" s="2" t="s">
        <v>28</v>
      </c>
      <c r="K5" s="3">
        <v>1</v>
      </c>
      <c r="L5" s="3">
        <v>0.31914893617021201</v>
      </c>
      <c r="M5" s="3">
        <v>0.49951124144672499</v>
      </c>
      <c r="N5" s="3">
        <v>0.483870967741935</v>
      </c>
      <c r="O5" s="3">
        <v>0.199374511336982</v>
      </c>
      <c r="P5" s="3">
        <v>0.33275387468860201</v>
      </c>
    </row>
    <row r="6" spans="1:16" x14ac:dyDescent="0.25">
      <c r="A6" s="2" t="s">
        <v>29</v>
      </c>
      <c r="B6" s="3">
        <v>0.78947368421052599</v>
      </c>
      <c r="C6" s="3">
        <v>0.73170731707317005</v>
      </c>
      <c r="D6" s="3">
        <v>0.68586928442262896</v>
      </c>
      <c r="E6" s="3">
        <v>0.759493670886076</v>
      </c>
      <c r="F6" s="3">
        <v>0.37319587628865902</v>
      </c>
      <c r="G6" s="3">
        <v>0.37503711732936901</v>
      </c>
      <c r="J6" s="2" t="s">
        <v>29</v>
      </c>
      <c r="K6" s="3">
        <v>0.76315789473684204</v>
      </c>
      <c r="L6" s="3">
        <v>0.61702127659574402</v>
      </c>
      <c r="M6" s="3">
        <v>0.52722298221614206</v>
      </c>
      <c r="N6" s="3">
        <v>0.68235294117647005</v>
      </c>
      <c r="O6" s="3">
        <v>7.4946466809421797E-2</v>
      </c>
      <c r="P6" s="3">
        <v>7.8785478688117E-2</v>
      </c>
    </row>
    <row r="7" spans="1:16" x14ac:dyDescent="0.25">
      <c r="A7" s="2" t="s">
        <v>30</v>
      </c>
      <c r="B7" s="3">
        <v>0.92307692307692302</v>
      </c>
      <c r="C7" s="3">
        <v>0.42857142857142799</v>
      </c>
      <c r="D7" s="3">
        <v>0.69498177740398004</v>
      </c>
      <c r="E7" s="3">
        <v>0.585365853658536</v>
      </c>
      <c r="F7" s="3">
        <v>0.42616033755274202</v>
      </c>
      <c r="G7" s="3">
        <v>0.49419043434758603</v>
      </c>
      <c r="J7" s="2" t="s">
        <v>30</v>
      </c>
      <c r="K7" s="3">
        <v>0.84615384615384603</v>
      </c>
      <c r="L7" s="3">
        <v>0.5</v>
      </c>
      <c r="M7" s="3">
        <v>0.74439324116743399</v>
      </c>
      <c r="N7" s="3">
        <v>0.628571428571428</v>
      </c>
      <c r="O7" s="3">
        <v>0.50119904076738597</v>
      </c>
      <c r="P7" s="3">
        <v>0.53405198296199397</v>
      </c>
    </row>
    <row r="8" spans="1:16" x14ac:dyDescent="0.25">
      <c r="A8" s="2" t="s">
        <v>31</v>
      </c>
      <c r="B8" s="3">
        <v>0.90196078431372495</v>
      </c>
      <c r="C8" s="3">
        <v>0.90196078431372495</v>
      </c>
      <c r="D8" s="3">
        <v>0.75867269984916996</v>
      </c>
      <c r="E8" s="3">
        <v>0.90196078431372495</v>
      </c>
      <c r="F8" s="3">
        <v>0.51734539969834004</v>
      </c>
      <c r="G8" s="3">
        <v>0.51734539969834004</v>
      </c>
      <c r="J8" s="2" t="s">
        <v>31</v>
      </c>
      <c r="K8" s="3">
        <v>0.98039215686274495</v>
      </c>
      <c r="L8" s="3">
        <v>0.87719298245613997</v>
      </c>
      <c r="M8" s="3">
        <v>0.76296296296296295</v>
      </c>
      <c r="N8" s="3">
        <v>0.92592592592592504</v>
      </c>
      <c r="O8" s="3">
        <v>0.53369763205828702</v>
      </c>
      <c r="P8" s="3">
        <v>0.56967138923080396</v>
      </c>
    </row>
    <row r="9" spans="1:16" x14ac:dyDescent="0.25">
      <c r="A9" s="2" t="s">
        <v>32</v>
      </c>
      <c r="B9" s="3">
        <v>1</v>
      </c>
      <c r="C9" s="3">
        <v>0.62745098039215597</v>
      </c>
      <c r="D9" s="3">
        <v>0.67443105756358701</v>
      </c>
      <c r="E9" s="3">
        <v>0.77108433734939696</v>
      </c>
      <c r="F9" s="3">
        <v>0.40625</v>
      </c>
      <c r="G9" s="3">
        <v>0.50487816429740096</v>
      </c>
      <c r="J9" s="2" t="s">
        <v>32</v>
      </c>
      <c r="K9" s="3">
        <v>0.8125</v>
      </c>
      <c r="L9" s="3">
        <v>0.63414634146341398</v>
      </c>
      <c r="M9" s="3">
        <v>0.66525529265255201</v>
      </c>
      <c r="N9" s="3">
        <v>0.71232876712328697</v>
      </c>
      <c r="O9" s="3">
        <v>0.34375</v>
      </c>
      <c r="P9" s="3">
        <v>0.35820928496420901</v>
      </c>
    </row>
    <row r="10" spans="1:16" x14ac:dyDescent="0.25">
      <c r="A10" s="2" t="s">
        <v>33</v>
      </c>
      <c r="B10" s="3">
        <v>0.98039215686274495</v>
      </c>
      <c r="C10" s="3">
        <v>0.96153846153846101</v>
      </c>
      <c r="D10" s="3">
        <v>0.925436893203883</v>
      </c>
      <c r="E10" s="3">
        <v>0.970873786407767</v>
      </c>
      <c r="F10" s="3">
        <v>0.85093167701863304</v>
      </c>
      <c r="G10" s="3">
        <v>0.85198411871737401</v>
      </c>
      <c r="J10" s="2" t="s">
        <v>33</v>
      </c>
      <c r="K10" s="3">
        <v>0.54901960784313697</v>
      </c>
      <c r="L10" s="3">
        <v>0.93333333333333302</v>
      </c>
      <c r="M10" s="3">
        <v>0.57972156553716803</v>
      </c>
      <c r="N10" s="3">
        <v>0.69135802469135799</v>
      </c>
      <c r="O10" s="3">
        <v>0.24670433145009399</v>
      </c>
      <c r="P10" s="3">
        <v>0.31859902414090802</v>
      </c>
    </row>
    <row r="11" spans="1:16" x14ac:dyDescent="0.25">
      <c r="A11" s="2" t="s">
        <v>34</v>
      </c>
      <c r="B11" s="3">
        <v>0.72549019607843102</v>
      </c>
      <c r="C11" s="3">
        <v>0.97368421052631504</v>
      </c>
      <c r="D11" s="3">
        <v>0.72342264477095897</v>
      </c>
      <c r="E11" s="3">
        <v>0.83146067415730296</v>
      </c>
      <c r="F11" s="3">
        <v>0.47252747252747201</v>
      </c>
      <c r="G11" s="3">
        <v>0.53129192974498296</v>
      </c>
      <c r="J11" s="2" t="s">
        <v>34</v>
      </c>
      <c r="K11" s="3">
        <v>0.86274509803921495</v>
      </c>
      <c r="L11" s="3">
        <v>0.88</v>
      </c>
      <c r="M11" s="3">
        <v>0.694902823615694</v>
      </c>
      <c r="N11" s="3">
        <v>0.87128712871287095</v>
      </c>
      <c r="O11" s="3">
        <v>0.39002932551319602</v>
      </c>
      <c r="P11" s="3">
        <v>0.39045937288056798</v>
      </c>
    </row>
    <row r="12" spans="1:16" x14ac:dyDescent="0.25">
      <c r="A12" s="2" t="s">
        <v>35</v>
      </c>
      <c r="B12" s="3">
        <v>1</v>
      </c>
      <c r="C12" s="3">
        <v>0.95918367346938704</v>
      </c>
      <c r="D12" s="3">
        <v>0.95833333333333304</v>
      </c>
      <c r="E12" s="3">
        <v>0.97916666666666596</v>
      </c>
      <c r="F12" s="3">
        <v>0.91677503250975201</v>
      </c>
      <c r="G12" s="3">
        <v>0.91996659472731102</v>
      </c>
      <c r="J12" s="2" t="s">
        <v>35</v>
      </c>
      <c r="K12" s="3">
        <v>0.97872340425531901</v>
      </c>
      <c r="L12" s="3">
        <v>0.95833333333333304</v>
      </c>
      <c r="M12" s="3">
        <v>0.93875598086124401</v>
      </c>
      <c r="N12" s="3">
        <v>0.96842105263157896</v>
      </c>
      <c r="O12" s="3">
        <v>0.87755102040816302</v>
      </c>
      <c r="P12" s="3">
        <v>0.87828292297109101</v>
      </c>
    </row>
    <row r="13" spans="1:16" x14ac:dyDescent="0.25">
      <c r="A13" s="2" t="s">
        <v>36</v>
      </c>
      <c r="B13" s="3">
        <v>0.96</v>
      </c>
      <c r="C13" s="3">
        <v>0.94117647058823495</v>
      </c>
      <c r="D13" s="3">
        <v>0.882654932159882</v>
      </c>
      <c r="E13" s="3">
        <v>0.95049504950495001</v>
      </c>
      <c r="F13" s="3">
        <v>0.76539589442815203</v>
      </c>
      <c r="G13" s="3">
        <v>0.76623982196863305</v>
      </c>
      <c r="J13" s="2" t="s">
        <v>36</v>
      </c>
      <c r="K13" s="3">
        <v>0.96</v>
      </c>
      <c r="L13" s="3">
        <v>0.94117647058823495</v>
      </c>
      <c r="M13" s="3">
        <v>0.882654932159882</v>
      </c>
      <c r="N13" s="3">
        <v>0.95049504950495001</v>
      </c>
      <c r="O13" s="3">
        <v>0.76539589442815203</v>
      </c>
      <c r="P13" s="3">
        <v>0.76623982196863305</v>
      </c>
    </row>
    <row r="14" spans="1:16" x14ac:dyDescent="0.25">
      <c r="A14" s="2" t="s">
        <v>37</v>
      </c>
      <c r="B14" s="3">
        <v>0.6</v>
      </c>
      <c r="C14" s="3">
        <v>0.55555555555555503</v>
      </c>
      <c r="D14" s="3">
        <v>0.64372469635627505</v>
      </c>
      <c r="E14" s="3">
        <v>0.57692307692307598</v>
      </c>
      <c r="F14" s="3">
        <v>0.28816986855409499</v>
      </c>
      <c r="G14" s="3">
        <v>0.28877514330545001</v>
      </c>
      <c r="J14" s="2" t="s">
        <v>37</v>
      </c>
      <c r="K14" s="3">
        <v>0.96</v>
      </c>
      <c r="L14" s="3">
        <v>0.42857142857142799</v>
      </c>
      <c r="M14" s="3">
        <v>0.44523246650906201</v>
      </c>
      <c r="N14" s="3">
        <v>0.592592592592592</v>
      </c>
      <c r="O14" s="3">
        <v>0.114093959731543</v>
      </c>
      <c r="P14" s="3">
        <v>0.205777361107392</v>
      </c>
    </row>
    <row r="15" spans="1:16" x14ac:dyDescent="0.25">
      <c r="A15" s="2" t="s">
        <v>38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J15" s="2" t="s">
        <v>38</v>
      </c>
      <c r="K15" s="3">
        <v>0.98245614035087703</v>
      </c>
      <c r="L15" s="3">
        <v>1</v>
      </c>
      <c r="M15" s="3">
        <v>0.96224188790560405</v>
      </c>
      <c r="N15" s="3">
        <v>0.99115044247787598</v>
      </c>
      <c r="O15" s="3">
        <v>0.92452830188679203</v>
      </c>
      <c r="P15" s="3">
        <v>0.92717264994552995</v>
      </c>
    </row>
    <row r="16" spans="1:16" x14ac:dyDescent="0.25">
      <c r="A16" s="2" t="s">
        <v>39</v>
      </c>
      <c r="B16" s="3">
        <v>1</v>
      </c>
      <c r="C16" s="3">
        <v>0.92727272727272703</v>
      </c>
      <c r="D16" s="3">
        <v>0.89022298456260696</v>
      </c>
      <c r="E16" s="3">
        <v>0.96226415094339601</v>
      </c>
      <c r="F16" s="3">
        <v>0.78194207836456497</v>
      </c>
      <c r="G16" s="3">
        <v>0.80122284163523505</v>
      </c>
      <c r="J16" s="2" t="s">
        <v>39</v>
      </c>
      <c r="K16" s="3">
        <v>0.98039215686274495</v>
      </c>
      <c r="L16" s="3">
        <v>0.90909090909090895</v>
      </c>
      <c r="M16" s="3">
        <v>0.83533447684391005</v>
      </c>
      <c r="N16" s="3">
        <v>0.94339622641509402</v>
      </c>
      <c r="O16" s="3">
        <v>0.67291311754684802</v>
      </c>
      <c r="P16" s="3">
        <v>0.68950549552487606</v>
      </c>
    </row>
    <row r="17" spans="1:16" x14ac:dyDescent="0.25">
      <c r="A17" s="2" t="s">
        <v>40</v>
      </c>
      <c r="B17" s="3">
        <v>0.92857142857142805</v>
      </c>
      <c r="C17" s="3">
        <v>0.98113207547169801</v>
      </c>
      <c r="D17" s="3">
        <v>0.84548527281506503</v>
      </c>
      <c r="E17" s="3">
        <v>0.95412844036697197</v>
      </c>
      <c r="F17" s="3">
        <v>0.69230769230769196</v>
      </c>
      <c r="G17" s="3">
        <v>0.70441600726860998</v>
      </c>
      <c r="J17" s="2" t="s">
        <v>40</v>
      </c>
      <c r="K17" s="3">
        <v>0.83928571428571397</v>
      </c>
      <c r="L17" s="3">
        <v>0.97916666666666596</v>
      </c>
      <c r="M17" s="3">
        <v>0.74358974358974295</v>
      </c>
      <c r="N17" s="3">
        <v>0.90384615384615297</v>
      </c>
      <c r="O17" s="3">
        <v>0.5</v>
      </c>
      <c r="P17" s="3">
        <v>0.54554472558998102</v>
      </c>
    </row>
    <row r="18" spans="1:16" x14ac:dyDescent="0.25">
      <c r="A18" s="2" t="s">
        <v>41</v>
      </c>
      <c r="B18" s="3">
        <v>0.77358490566037696</v>
      </c>
      <c r="C18" s="3">
        <v>0.95348837209302295</v>
      </c>
      <c r="D18" s="3">
        <v>0.70833333333333304</v>
      </c>
      <c r="E18" s="3">
        <v>0.85416666666666596</v>
      </c>
      <c r="F18" s="3">
        <v>0.43505674653215598</v>
      </c>
      <c r="G18" s="3">
        <v>0.47548951255627597</v>
      </c>
      <c r="J18" s="2" t="s">
        <v>41</v>
      </c>
      <c r="K18" s="3">
        <v>1</v>
      </c>
      <c r="L18" s="3">
        <v>0.89830508474576198</v>
      </c>
      <c r="M18" s="3">
        <v>0.78571428571428503</v>
      </c>
      <c r="N18" s="3">
        <v>0.94642857142857095</v>
      </c>
      <c r="O18" s="3">
        <v>0.57986870897155296</v>
      </c>
      <c r="P18" s="3">
        <v>0.63899960333810502</v>
      </c>
    </row>
    <row r="19" spans="1:16" x14ac:dyDescent="0.25">
      <c r="A19" s="2" t="s">
        <v>42</v>
      </c>
      <c r="B19" s="3">
        <v>0.9375</v>
      </c>
      <c r="C19" s="3">
        <v>0.83333333333333304</v>
      </c>
      <c r="D19" s="3">
        <v>0.91989987484355396</v>
      </c>
      <c r="E19" s="3">
        <v>0.88235294117647001</v>
      </c>
      <c r="F19" s="3">
        <v>0.84</v>
      </c>
      <c r="G19" s="3">
        <v>0.84270097160038404</v>
      </c>
      <c r="J19" s="2" t="s">
        <v>42</v>
      </c>
      <c r="K19" s="3">
        <v>0.9375</v>
      </c>
      <c r="L19" s="3">
        <v>0.78947368421052599</v>
      </c>
      <c r="M19" s="3">
        <v>0.90168970814132099</v>
      </c>
      <c r="N19" s="3">
        <v>0.85714285714285698</v>
      </c>
      <c r="O19" s="3">
        <v>0.80392156862745101</v>
      </c>
      <c r="P19" s="3">
        <v>0.80954346627075902</v>
      </c>
    </row>
    <row r="20" spans="1:16" x14ac:dyDescent="0.25">
      <c r="A20" s="2" t="s">
        <v>43</v>
      </c>
      <c r="B20" s="3">
        <v>0.78260869565217395</v>
      </c>
      <c r="C20" s="3">
        <v>1</v>
      </c>
      <c r="D20" s="3">
        <v>0.91028875805999399</v>
      </c>
      <c r="E20" s="3">
        <v>0.87804878048780399</v>
      </c>
      <c r="F20" s="3">
        <v>0.82182628062360796</v>
      </c>
      <c r="G20" s="3">
        <v>0.83519011792602305</v>
      </c>
      <c r="J20" s="2" t="s">
        <v>43</v>
      </c>
      <c r="K20" s="3">
        <v>0.82608695652173902</v>
      </c>
      <c r="L20" s="3">
        <v>1</v>
      </c>
      <c r="M20" s="3">
        <v>0.92912513842746403</v>
      </c>
      <c r="N20" s="3">
        <v>0.90476190476190399</v>
      </c>
      <c r="O20" s="3">
        <v>0.85887541345093699</v>
      </c>
      <c r="P20" s="3">
        <v>0.86755807000506702</v>
      </c>
    </row>
    <row r="21" spans="1:16" x14ac:dyDescent="0.25">
      <c r="A21" s="2" t="s">
        <v>44</v>
      </c>
      <c r="B21" s="3">
        <v>0.875</v>
      </c>
      <c r="C21" s="3">
        <v>0.875</v>
      </c>
      <c r="D21" s="3">
        <v>0.91666666666666596</v>
      </c>
      <c r="E21" s="3">
        <v>0.875</v>
      </c>
      <c r="F21" s="3">
        <v>0.83333333333333304</v>
      </c>
      <c r="G21" s="3">
        <v>0.83333333333333304</v>
      </c>
      <c r="J21" s="2" t="s">
        <v>44</v>
      </c>
      <c r="K21" s="3">
        <v>0.875</v>
      </c>
      <c r="L21" s="3">
        <v>0.77777777777777701</v>
      </c>
      <c r="M21" s="3">
        <v>0.87984981226533099</v>
      </c>
      <c r="N21" s="3">
        <v>0.82352941176470495</v>
      </c>
      <c r="O21" s="3">
        <v>0.76</v>
      </c>
      <c r="P21" s="3">
        <v>0.76244373620987105</v>
      </c>
    </row>
    <row r="22" spans="1:16" x14ac:dyDescent="0.25">
      <c r="A22" s="2" t="s">
        <v>45</v>
      </c>
      <c r="B22" s="3">
        <v>0.85316394288301001</v>
      </c>
      <c r="C22" s="3">
        <v>0.82533966910791401</v>
      </c>
      <c r="D22" s="3">
        <v>0.796750302790183</v>
      </c>
      <c r="E22" s="3">
        <v>0.82528515219252296</v>
      </c>
      <c r="F22" s="3">
        <v>0.60502337245165505</v>
      </c>
      <c r="G22" s="3">
        <v>0.624459674661897</v>
      </c>
      <c r="J22" s="2" t="s">
        <v>45</v>
      </c>
      <c r="K22" s="3">
        <v>0.88529043363526705</v>
      </c>
      <c r="L22" s="3">
        <v>0.77752662018589003</v>
      </c>
      <c r="M22" s="3">
        <v>0.74202925942884101</v>
      </c>
      <c r="N22" s="3">
        <v>0.80825029014537597</v>
      </c>
      <c r="O22" s="3">
        <v>0.51742499282374599</v>
      </c>
      <c r="P22" s="3">
        <v>0.54571970259398905</v>
      </c>
    </row>
    <row r="24" spans="1:16" x14ac:dyDescent="0.25">
      <c r="A24" s="8" t="s">
        <v>23</v>
      </c>
      <c r="B24" s="8"/>
      <c r="C24" s="8"/>
      <c r="D24" s="8"/>
      <c r="E24" s="8"/>
      <c r="F24" s="8"/>
      <c r="G24" s="8"/>
    </row>
    <row r="25" spans="1:16" x14ac:dyDescent="0.25">
      <c r="A25" s="2" t="s">
        <v>25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21</v>
      </c>
    </row>
    <row r="26" spans="1:16" x14ac:dyDescent="0.25">
      <c r="A26" s="2" t="s">
        <v>26</v>
      </c>
      <c r="B26" s="3">
        <v>0.72499999999999998</v>
      </c>
      <c r="C26" s="3">
        <v>0.707317073170731</v>
      </c>
      <c r="D26" s="3">
        <v>0.61334384029419398</v>
      </c>
      <c r="E26" s="3">
        <v>0.71604938271604901</v>
      </c>
      <c r="F26" s="3">
        <v>0.22689075630252001</v>
      </c>
      <c r="G26" s="3">
        <v>0.22701904283835</v>
      </c>
    </row>
    <row r="27" spans="1:16" x14ac:dyDescent="0.25">
      <c r="A27" s="2" t="s">
        <v>27</v>
      </c>
      <c r="B27" s="3">
        <v>0.78947368421052599</v>
      </c>
      <c r="C27" s="3">
        <v>0.65217391304347805</v>
      </c>
      <c r="D27" s="3">
        <v>0.78737541528239197</v>
      </c>
      <c r="E27" s="3">
        <v>0.71428571428571397</v>
      </c>
      <c r="F27" s="3">
        <v>0.57662624035281096</v>
      </c>
      <c r="G27" s="3">
        <v>0.58245554635770203</v>
      </c>
    </row>
    <row r="28" spans="1:16" x14ac:dyDescent="0.25">
      <c r="A28" s="2" t="s">
        <v>28</v>
      </c>
      <c r="B28" s="3">
        <v>0.53333333333333299</v>
      </c>
      <c r="C28" s="3">
        <v>0.42105263157894701</v>
      </c>
      <c r="D28" s="3">
        <v>0.63954943679599496</v>
      </c>
      <c r="E28" s="3">
        <v>0.47058823529411697</v>
      </c>
      <c r="F28" s="3">
        <v>0.28268991282689898</v>
      </c>
      <c r="G28" s="3">
        <v>0.28635128100358498</v>
      </c>
    </row>
    <row r="29" spans="1:16" x14ac:dyDescent="0.25">
      <c r="A29" s="2" t="s">
        <v>29</v>
      </c>
      <c r="B29" s="3">
        <v>0.21052631578947301</v>
      </c>
      <c r="C29" s="3">
        <v>0.72727272727272696</v>
      </c>
      <c r="D29" s="3">
        <v>0.45440454662877799</v>
      </c>
      <c r="E29" s="3">
        <v>0.32653061224489699</v>
      </c>
      <c r="F29" s="3">
        <v>8.1739130434782606E-2</v>
      </c>
      <c r="G29" s="3">
        <v>0.12385544497037899</v>
      </c>
    </row>
    <row r="30" spans="1:16" x14ac:dyDescent="0.25">
      <c r="A30" s="2" t="s">
        <v>30</v>
      </c>
      <c r="B30" s="3">
        <v>0.92307692307692302</v>
      </c>
      <c r="C30" s="3">
        <v>0.63157894736842102</v>
      </c>
      <c r="D30" s="3">
        <v>0.83333333333333304</v>
      </c>
      <c r="E30" s="3">
        <v>0.75</v>
      </c>
      <c r="F30" s="3">
        <v>0.67052767052767004</v>
      </c>
      <c r="G30" s="3">
        <v>0.69198694592824295</v>
      </c>
    </row>
    <row r="31" spans="1:16" x14ac:dyDescent="0.25">
      <c r="A31" s="2" t="s">
        <v>31</v>
      </c>
      <c r="B31" s="3">
        <v>0.58823529411764697</v>
      </c>
      <c r="C31" s="3">
        <v>0.967741935483871</v>
      </c>
      <c r="D31" s="3">
        <v>0.62672322375397604</v>
      </c>
      <c r="E31" s="3">
        <v>0.73170731707317005</v>
      </c>
      <c r="F31" s="3">
        <v>0.32502396931927102</v>
      </c>
      <c r="G31" s="3">
        <v>0.411628197349662</v>
      </c>
    </row>
    <row r="32" spans="1:16" x14ac:dyDescent="0.25">
      <c r="A32" s="2" t="s">
        <v>32</v>
      </c>
      <c r="B32" s="3">
        <v>0.5</v>
      </c>
      <c r="C32" s="3">
        <v>0.61538461538461497</v>
      </c>
      <c r="D32" s="3">
        <v>0.59014778325123096</v>
      </c>
      <c r="E32" s="3">
        <v>0.55172413793103403</v>
      </c>
      <c r="F32" s="3">
        <v>0.1875</v>
      </c>
      <c r="G32" s="3">
        <v>0.19088542889273299</v>
      </c>
    </row>
    <row r="33" spans="1:7" x14ac:dyDescent="0.25">
      <c r="A33" s="2" t="s">
        <v>33</v>
      </c>
      <c r="B33" s="3">
        <v>0.68627450980392102</v>
      </c>
      <c r="C33" s="3">
        <v>1</v>
      </c>
      <c r="D33" s="3">
        <v>0.71650055370985599</v>
      </c>
      <c r="E33" s="3">
        <v>0.81395348837209303</v>
      </c>
      <c r="F33" s="3">
        <v>0.47052740434332901</v>
      </c>
      <c r="G33" s="3">
        <v>0.55465331288860897</v>
      </c>
    </row>
    <row r="34" spans="1:7" x14ac:dyDescent="0.25">
      <c r="A34" s="2" t="s">
        <v>34</v>
      </c>
      <c r="B34" s="3">
        <v>0.50980392156862697</v>
      </c>
      <c r="C34" s="3">
        <v>1</v>
      </c>
      <c r="D34" s="3">
        <v>0.59256429844665104</v>
      </c>
      <c r="E34" s="3">
        <v>0.67532467532467499</v>
      </c>
      <c r="F34" s="3">
        <v>0.29701230228470998</v>
      </c>
      <c r="G34" s="3">
        <v>0.417620168032103</v>
      </c>
    </row>
    <row r="35" spans="1:7" x14ac:dyDescent="0.25">
      <c r="A35" s="2" t="s">
        <v>35</v>
      </c>
      <c r="B35" s="3">
        <v>1</v>
      </c>
      <c r="C35" s="3">
        <v>0.95918367346938704</v>
      </c>
      <c r="D35" s="3">
        <v>0.95833333333333304</v>
      </c>
      <c r="E35" s="3">
        <v>0.97916666666666596</v>
      </c>
      <c r="F35" s="3">
        <v>0.91677503250975201</v>
      </c>
      <c r="G35" s="3">
        <v>0.91996659472731102</v>
      </c>
    </row>
    <row r="36" spans="1:7" x14ac:dyDescent="0.25">
      <c r="A36" s="2" t="s">
        <v>36</v>
      </c>
      <c r="B36" s="3">
        <v>0.96</v>
      </c>
      <c r="C36" s="3">
        <v>0.94117647058823495</v>
      </c>
      <c r="D36" s="3">
        <v>0.882654932159882</v>
      </c>
      <c r="E36" s="3">
        <v>0.95049504950495001</v>
      </c>
      <c r="F36" s="3">
        <v>0.76539589442815203</v>
      </c>
      <c r="G36" s="3">
        <v>0.76623982196863305</v>
      </c>
    </row>
    <row r="37" spans="1:7" x14ac:dyDescent="0.25">
      <c r="A37" s="2" t="s">
        <v>37</v>
      </c>
      <c r="B37" s="3">
        <v>0.24</v>
      </c>
      <c r="C37" s="3">
        <v>0.75</v>
      </c>
      <c r="D37" s="3">
        <v>0.57129186602870796</v>
      </c>
      <c r="E37" s="3">
        <v>0.36363636363636298</v>
      </c>
      <c r="F37" s="3">
        <v>0.21495327102803699</v>
      </c>
      <c r="G37" s="3">
        <v>0.27840466502764899</v>
      </c>
    </row>
    <row r="38" spans="1:7" x14ac:dyDescent="0.25">
      <c r="A38" s="2" t="s">
        <v>38</v>
      </c>
      <c r="B38" s="3">
        <v>0.94736842105263097</v>
      </c>
      <c r="C38" s="3">
        <v>1</v>
      </c>
      <c r="D38" s="3">
        <v>0.89825119236883899</v>
      </c>
      <c r="E38" s="3">
        <v>0.97297297297297303</v>
      </c>
      <c r="F38" s="3">
        <v>0.797468354430379</v>
      </c>
      <c r="G38" s="3">
        <v>0.81434507104595499</v>
      </c>
    </row>
    <row r="39" spans="1:7" x14ac:dyDescent="0.25">
      <c r="A39" s="2" t="s">
        <v>39</v>
      </c>
      <c r="B39" s="3">
        <v>1</v>
      </c>
      <c r="C39" s="3">
        <v>0.91071428571428503</v>
      </c>
      <c r="D39" s="3">
        <v>0.85758789497107202</v>
      </c>
      <c r="E39" s="3">
        <v>0.95327102803738295</v>
      </c>
      <c r="F39" s="3">
        <v>0.71830985915492895</v>
      </c>
      <c r="G39" s="3">
        <v>0.74862511341763005</v>
      </c>
    </row>
    <row r="40" spans="1:7" x14ac:dyDescent="0.25">
      <c r="A40" s="2" t="s">
        <v>40</v>
      </c>
      <c r="B40" s="3">
        <v>0.73214285714285698</v>
      </c>
      <c r="C40" s="3">
        <v>1</v>
      </c>
      <c r="D40" s="3">
        <v>0.68074492850016599</v>
      </c>
      <c r="E40" s="3">
        <v>0.84536082474226804</v>
      </c>
      <c r="F40" s="3">
        <v>0.40594059405940502</v>
      </c>
      <c r="G40" s="3">
        <v>0.50463688439626297</v>
      </c>
    </row>
    <row r="41" spans="1:7" x14ac:dyDescent="0.25">
      <c r="A41" s="2" t="s">
        <v>41</v>
      </c>
      <c r="B41" s="3">
        <v>0.64150943396226401</v>
      </c>
      <c r="C41" s="3">
        <v>0.94444444444444398</v>
      </c>
      <c r="D41" s="3">
        <v>0.61279170267934302</v>
      </c>
      <c r="E41" s="3">
        <v>0.76404494382022403</v>
      </c>
      <c r="F41" s="3">
        <v>0.28510638297872298</v>
      </c>
      <c r="G41" s="3">
        <v>0.34959905545923597</v>
      </c>
    </row>
    <row r="42" spans="1:7" x14ac:dyDescent="0.25">
      <c r="A42" s="2" t="s">
        <v>42</v>
      </c>
      <c r="B42" s="3">
        <v>0.8125</v>
      </c>
      <c r="C42" s="3">
        <v>0.92857142857142805</v>
      </c>
      <c r="D42" s="3">
        <v>0.91292517006802698</v>
      </c>
      <c r="E42" s="3">
        <v>0.86666666666666603</v>
      </c>
      <c r="F42" s="3">
        <v>0.82608695652173902</v>
      </c>
      <c r="G42" s="3">
        <v>0.82922798289677102</v>
      </c>
    </row>
    <row r="43" spans="1:7" x14ac:dyDescent="0.25">
      <c r="A43" s="2" t="s">
        <v>43</v>
      </c>
      <c r="B43" s="3">
        <v>0.82608695652173902</v>
      </c>
      <c r="C43" s="3">
        <v>0.95</v>
      </c>
      <c r="D43" s="3">
        <v>0.91244870041039605</v>
      </c>
      <c r="E43" s="3">
        <v>0.88372093023255804</v>
      </c>
      <c r="F43" s="3">
        <v>0.82532751091703005</v>
      </c>
      <c r="G43" s="3">
        <v>0.82989779952672904</v>
      </c>
    </row>
    <row r="44" spans="1:7" x14ac:dyDescent="0.25">
      <c r="A44" s="2" t="s">
        <v>44</v>
      </c>
      <c r="B44" s="3">
        <v>0.5</v>
      </c>
      <c r="C44" s="3">
        <v>0.8</v>
      </c>
      <c r="D44" s="3">
        <v>0.75867269984916996</v>
      </c>
      <c r="E44" s="3">
        <v>0.61538461538461497</v>
      </c>
      <c r="F44" s="3">
        <v>0.52380952380952295</v>
      </c>
      <c r="G44" s="3">
        <v>0.54659439449994796</v>
      </c>
    </row>
    <row r="45" spans="1:7" x14ac:dyDescent="0.25">
      <c r="A45" s="2" t="s">
        <v>45</v>
      </c>
      <c r="B45" s="3">
        <v>0.69080692897789098</v>
      </c>
      <c r="C45" s="3">
        <v>0.83719011295213497</v>
      </c>
      <c r="D45" s="3">
        <v>0.73156025536133396</v>
      </c>
      <c r="E45" s="3">
        <v>0.73394124341612699</v>
      </c>
      <c r="F45" s="3">
        <v>0.494616356117351</v>
      </c>
      <c r="G45" s="3">
        <v>0.53021014480144701</v>
      </c>
    </row>
  </sheetData>
  <mergeCells count="3">
    <mergeCell ref="A24:G24"/>
    <mergeCell ref="A1:G1"/>
    <mergeCell ref="J1:P1"/>
  </mergeCells>
  <conditionalFormatting sqref="A1:P45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AC05-0E05-482F-8AFE-200C8B605317}">
  <dimension ref="A1:Q65"/>
  <sheetViews>
    <sheetView zoomScaleNormal="100" workbookViewId="0">
      <selection activeCell="J37" sqref="J37"/>
    </sheetView>
  </sheetViews>
  <sheetFormatPr defaultRowHeight="15" x14ac:dyDescent="0.25"/>
  <cols>
    <col min="1" max="1" width="19.28515625" customWidth="1"/>
    <col min="2" max="2" width="14.85546875" customWidth="1"/>
    <col min="3" max="3" width="18.42578125" customWidth="1"/>
    <col min="4" max="4" width="20.5703125" customWidth="1"/>
    <col min="5" max="5" width="16.5703125" customWidth="1"/>
    <col min="6" max="6" width="15.7109375" customWidth="1"/>
    <col min="7" max="7" width="14.7109375" customWidth="1"/>
    <col min="9" max="9" width="13.5703125" customWidth="1"/>
    <col min="10" max="10" width="15.7109375" customWidth="1"/>
    <col min="11" max="11" width="14.5703125" customWidth="1"/>
    <col min="13" max="13" width="12.85546875" customWidth="1"/>
    <col min="17" max="17" width="12.28515625" customWidth="1"/>
  </cols>
  <sheetData>
    <row r="1" spans="1:17" x14ac:dyDescent="0.25">
      <c r="A1" s="7" t="s">
        <v>24</v>
      </c>
      <c r="B1" s="7"/>
      <c r="C1" s="7"/>
      <c r="D1" s="7"/>
      <c r="G1" s="6" t="s">
        <v>46</v>
      </c>
      <c r="H1" s="6"/>
      <c r="I1" s="6"/>
      <c r="K1" s="6" t="s">
        <v>47</v>
      </c>
      <c r="L1" s="6"/>
      <c r="M1" s="6"/>
      <c r="O1" s="6" t="s">
        <v>48</v>
      </c>
      <c r="P1" s="6"/>
      <c r="Q1" s="6"/>
    </row>
    <row r="2" spans="1:17" x14ac:dyDescent="0.25">
      <c r="A2" s="2" t="s">
        <v>25</v>
      </c>
      <c r="B2" s="4" t="s">
        <v>18</v>
      </c>
      <c r="C2" s="4" t="s">
        <v>20</v>
      </c>
      <c r="D2" s="4" t="s">
        <v>49</v>
      </c>
      <c r="E2" s="4" t="s">
        <v>50</v>
      </c>
      <c r="G2" s="4" t="s">
        <v>25</v>
      </c>
      <c r="H2" s="4" t="s">
        <v>18</v>
      </c>
      <c r="I2" s="4" t="s">
        <v>20</v>
      </c>
      <c r="K2" s="4" t="s">
        <v>25</v>
      </c>
      <c r="L2" s="4" t="s">
        <v>18</v>
      </c>
      <c r="M2" s="4" t="s">
        <v>20</v>
      </c>
      <c r="O2" s="4" t="s">
        <v>25</v>
      </c>
      <c r="P2" s="4" t="s">
        <v>18</v>
      </c>
      <c r="Q2" s="4" t="s">
        <v>20</v>
      </c>
    </row>
    <row r="3" spans="1:17" x14ac:dyDescent="0.25">
      <c r="A3" s="2" t="s">
        <v>26</v>
      </c>
      <c r="B3" s="3">
        <v>0.50844854070660495</v>
      </c>
      <c r="C3" s="3">
        <v>6.5420560747663503E-2</v>
      </c>
      <c r="D3" s="3">
        <f>B3-H3</f>
        <v>-0.21120102124583506</v>
      </c>
      <c r="E3" s="3">
        <f>B3-P3</f>
        <v>-0.35904628330995803</v>
      </c>
      <c r="G3" s="4" t="s">
        <v>26</v>
      </c>
      <c r="H3" s="5">
        <v>0.71964956195244001</v>
      </c>
      <c r="I3" s="5">
        <v>0.46347305389221499</v>
      </c>
      <c r="K3" s="4" t="s">
        <v>26</v>
      </c>
      <c r="L3" s="5">
        <v>0.74439324116743399</v>
      </c>
      <c r="M3" s="5">
        <v>0.50710900473933596</v>
      </c>
      <c r="O3" s="4" t="s">
        <v>26</v>
      </c>
      <c r="P3" s="5">
        <v>0.86749482401656297</v>
      </c>
      <c r="Q3" s="5">
        <v>0.73509933774834402</v>
      </c>
    </row>
    <row r="4" spans="1:17" x14ac:dyDescent="0.25">
      <c r="A4" s="2" t="s">
        <v>27</v>
      </c>
      <c r="B4" s="3">
        <v>0.63428571428571401</v>
      </c>
      <c r="C4" s="3">
        <v>0.29379310344827497</v>
      </c>
      <c r="D4" s="3">
        <f t="shared" ref="D4:D21" si="0">B4-H4</f>
        <v>9.2857142857140085E-3</v>
      </c>
      <c r="E4" s="3">
        <f t="shared" ref="E4:E21" si="1">B4-P4</f>
        <v>5.0952380952380971E-2</v>
      </c>
      <c r="G4" s="4" t="s">
        <v>27</v>
      </c>
      <c r="H4" s="5">
        <v>0.625</v>
      </c>
      <c r="I4" s="5">
        <v>0.294981640146878</v>
      </c>
      <c r="K4" s="4" t="s">
        <v>27</v>
      </c>
      <c r="L4" s="5">
        <v>0.79639448568398696</v>
      </c>
      <c r="M4" s="5">
        <v>0.59278897136797404</v>
      </c>
      <c r="O4" s="4" t="s">
        <v>27</v>
      </c>
      <c r="P4" s="5">
        <v>0.58333333333333304</v>
      </c>
      <c r="Q4" s="5">
        <v>0.21664626682986499</v>
      </c>
    </row>
    <row r="5" spans="1:17" x14ac:dyDescent="0.25">
      <c r="A5" s="2" t="s">
        <v>28</v>
      </c>
      <c r="B5" s="3">
        <v>0.85709728867623602</v>
      </c>
      <c r="C5" s="3">
        <v>0.71501272264630999</v>
      </c>
      <c r="D5" s="3">
        <f t="shared" si="0"/>
        <v>0.142217573796522</v>
      </c>
      <c r="E5" s="3">
        <f t="shared" si="1"/>
        <v>0.34159057316952102</v>
      </c>
      <c r="G5" s="4" t="s">
        <v>28</v>
      </c>
      <c r="H5" s="5">
        <v>0.71487971487971402</v>
      </c>
      <c r="I5" s="5">
        <v>0.42992874109263601</v>
      </c>
      <c r="K5" s="4" t="s">
        <v>28</v>
      </c>
      <c r="L5" s="5">
        <v>0.53079178885630496</v>
      </c>
      <c r="M5" s="5">
        <v>0.21246923707957299</v>
      </c>
      <c r="O5" s="4" t="s">
        <v>28</v>
      </c>
      <c r="P5" s="5">
        <v>0.51550671550671501</v>
      </c>
      <c r="Q5" s="5">
        <v>0.19611021069692</v>
      </c>
    </row>
    <row r="6" spans="1:17" x14ac:dyDescent="0.25">
      <c r="A6" s="2" t="s">
        <v>29</v>
      </c>
      <c r="B6" s="3">
        <v>0.68586928442262896</v>
      </c>
      <c r="C6" s="3">
        <v>0.37319587628865902</v>
      </c>
      <c r="D6" s="3">
        <f t="shared" si="0"/>
        <v>0.23647657187202198</v>
      </c>
      <c r="E6" s="3">
        <f t="shared" si="1"/>
        <v>-0.1686761701228251</v>
      </c>
      <c r="G6" s="4" t="s">
        <v>29</v>
      </c>
      <c r="H6" s="5">
        <v>0.44939271255060698</v>
      </c>
      <c r="I6" s="5">
        <v>0.103050288540807</v>
      </c>
      <c r="K6" s="4" t="s">
        <v>29</v>
      </c>
      <c r="L6" s="5">
        <v>0.36945812807881701</v>
      </c>
      <c r="M6" s="5">
        <v>4.4062733383121701E-2</v>
      </c>
      <c r="O6" s="4" t="s">
        <v>29</v>
      </c>
      <c r="P6" s="5">
        <v>0.85454545454545405</v>
      </c>
      <c r="Q6" s="5">
        <v>0.71203599550056196</v>
      </c>
    </row>
    <row r="7" spans="1:17" x14ac:dyDescent="0.25">
      <c r="A7" s="2" t="s">
        <v>30</v>
      </c>
      <c r="B7" s="3">
        <v>0.69498177740398004</v>
      </c>
      <c r="C7" s="3">
        <v>0.42616033755274202</v>
      </c>
      <c r="D7" s="3">
        <f t="shared" si="0"/>
        <v>-0.15371798618939991</v>
      </c>
      <c r="E7" s="3">
        <f t="shared" si="1"/>
        <v>-0.17373617131396801</v>
      </c>
      <c r="G7" s="4" t="s">
        <v>30</v>
      </c>
      <c r="H7" s="5">
        <v>0.84869976359337995</v>
      </c>
      <c r="I7" s="5">
        <v>0.70370370370370305</v>
      </c>
      <c r="K7" s="4" t="s">
        <v>30</v>
      </c>
      <c r="L7" s="5">
        <v>0.91028875805999399</v>
      </c>
      <c r="M7" s="5">
        <v>0.82102908277404896</v>
      </c>
      <c r="O7" s="4" t="s">
        <v>30</v>
      </c>
      <c r="P7" s="5">
        <v>0.86871794871794805</v>
      </c>
      <c r="Q7" s="5">
        <v>0.73983739837398299</v>
      </c>
    </row>
    <row r="8" spans="1:17" x14ac:dyDescent="0.25">
      <c r="A8" s="2" t="s">
        <v>31</v>
      </c>
      <c r="B8" s="3">
        <v>0.75867269984916996</v>
      </c>
      <c r="C8" s="3">
        <v>0.51734539969834004</v>
      </c>
      <c r="D8" s="3">
        <f t="shared" si="0"/>
        <v>0.13194947609519392</v>
      </c>
      <c r="E8" s="3">
        <f t="shared" si="1"/>
        <v>-6.3549522373052003E-2</v>
      </c>
      <c r="G8" s="4" t="s">
        <v>31</v>
      </c>
      <c r="H8" s="5">
        <v>0.62672322375397604</v>
      </c>
      <c r="I8" s="5">
        <v>0.32502396931927102</v>
      </c>
      <c r="K8" s="4" t="s">
        <v>31</v>
      </c>
      <c r="L8" s="5">
        <v>0.527272727272727</v>
      </c>
      <c r="M8" s="5">
        <v>0.20686367969494701</v>
      </c>
      <c r="O8" s="4" t="s">
        <v>31</v>
      </c>
      <c r="P8" s="5">
        <v>0.82222222222222197</v>
      </c>
      <c r="Q8" s="5">
        <v>0.65027322404371501</v>
      </c>
    </row>
    <row r="9" spans="1:17" x14ac:dyDescent="0.25">
      <c r="A9" s="2" t="s">
        <v>32</v>
      </c>
      <c r="B9" s="3">
        <v>0.67443105756358701</v>
      </c>
      <c r="C9" s="3">
        <v>0.40625</v>
      </c>
      <c r="D9" s="3">
        <f t="shared" si="0"/>
        <v>0.17965132748974</v>
      </c>
      <c r="E9" s="3">
        <f t="shared" si="1"/>
        <v>-9.3684884465398022E-2</v>
      </c>
      <c r="G9" s="4" t="s">
        <v>32</v>
      </c>
      <c r="H9" s="5">
        <v>0.49477973007384701</v>
      </c>
      <c r="I9" s="5">
        <v>0.12829525483304</v>
      </c>
      <c r="K9" s="4" t="s">
        <v>32</v>
      </c>
      <c r="L9" s="5">
        <v>0.54587717151945103</v>
      </c>
      <c r="M9" s="5">
        <v>0.13914656771799599</v>
      </c>
      <c r="O9" s="4" t="s">
        <v>32</v>
      </c>
      <c r="P9" s="5">
        <v>0.76811594202898503</v>
      </c>
      <c r="Q9" s="5">
        <v>0.54982415005861596</v>
      </c>
    </row>
    <row r="10" spans="1:17" x14ac:dyDescent="0.25">
      <c r="A10" s="2" t="s">
        <v>33</v>
      </c>
      <c r="B10" s="3">
        <v>0.925436893203883</v>
      </c>
      <c r="C10" s="3">
        <v>0.85093167701863304</v>
      </c>
      <c r="D10" s="3">
        <f t="shared" si="0"/>
        <v>0.23045511579990297</v>
      </c>
      <c r="E10" s="3">
        <f t="shared" si="1"/>
        <v>0.36658217422191097</v>
      </c>
      <c r="G10" s="4" t="s">
        <v>33</v>
      </c>
      <c r="H10" s="5">
        <v>0.69498177740398004</v>
      </c>
      <c r="I10" s="5">
        <v>0.43568464730290402</v>
      </c>
      <c r="K10" s="4" t="s">
        <v>33</v>
      </c>
      <c r="L10" s="5">
        <v>0.73431013431013403</v>
      </c>
      <c r="M10" s="5">
        <v>0.47184466019417398</v>
      </c>
      <c r="O10" s="4" t="s">
        <v>33</v>
      </c>
      <c r="P10" s="5">
        <v>0.55885471898197203</v>
      </c>
      <c r="Q10" s="5">
        <v>0.21804511278195399</v>
      </c>
    </row>
    <row r="11" spans="1:17" x14ac:dyDescent="0.25">
      <c r="A11" s="2" t="s">
        <v>34</v>
      </c>
      <c r="B11" s="3">
        <v>0.72342264477095897</v>
      </c>
      <c r="C11" s="3">
        <v>0.47252747252747201</v>
      </c>
      <c r="D11" s="3">
        <f t="shared" si="0"/>
        <v>6.7172644770958967E-2</v>
      </c>
      <c r="E11" s="3">
        <f t="shared" si="1"/>
        <v>5.0695372043687015E-2</v>
      </c>
      <c r="G11" s="4" t="s">
        <v>34</v>
      </c>
      <c r="H11" s="5">
        <v>0.65625</v>
      </c>
      <c r="I11" s="5">
        <v>0.33584905660377301</v>
      </c>
      <c r="K11" s="4" t="s">
        <v>34</v>
      </c>
      <c r="L11" s="5">
        <v>0.51417004048582904</v>
      </c>
      <c r="M11" s="5">
        <v>0.151943462897526</v>
      </c>
      <c r="O11" s="4" t="s">
        <v>34</v>
      </c>
      <c r="P11" s="5">
        <v>0.67272727272727195</v>
      </c>
      <c r="Q11" s="5">
        <v>0.37117903930131002</v>
      </c>
    </row>
    <row r="12" spans="1:17" x14ac:dyDescent="0.25">
      <c r="A12" s="2" t="s">
        <v>35</v>
      </c>
      <c r="B12" s="3">
        <v>0.95833333333333304</v>
      </c>
      <c r="C12" s="3">
        <v>0.91677503250975201</v>
      </c>
      <c r="D12" s="3">
        <f t="shared" si="0"/>
        <v>-4.1666666666666963E-2</v>
      </c>
      <c r="E12" s="3">
        <f t="shared" si="1"/>
        <v>-2.038299523334397E-2</v>
      </c>
      <c r="G12" s="4" t="s">
        <v>35</v>
      </c>
      <c r="H12" s="5">
        <v>1</v>
      </c>
      <c r="I12" s="5">
        <v>1</v>
      </c>
      <c r="K12" s="4" t="s">
        <v>35</v>
      </c>
      <c r="L12" s="5">
        <v>0.97871632856667701</v>
      </c>
      <c r="M12" s="5">
        <v>0.95744680851063801</v>
      </c>
      <c r="O12" s="4" t="s">
        <v>35</v>
      </c>
      <c r="P12" s="5">
        <v>0.97871632856667701</v>
      </c>
      <c r="Q12" s="5">
        <v>0.95744680851063801</v>
      </c>
    </row>
    <row r="13" spans="1:17" x14ac:dyDescent="0.25">
      <c r="A13" s="2" t="s">
        <v>36</v>
      </c>
      <c r="B13" s="3">
        <v>0.882654932159882</v>
      </c>
      <c r="C13" s="3">
        <v>0.76539589442815203</v>
      </c>
      <c r="D13" s="3">
        <f t="shared" si="0"/>
        <v>-0.117345067840118</v>
      </c>
      <c r="E13" s="3">
        <f t="shared" si="1"/>
        <v>-0.117345067840118</v>
      </c>
      <c r="G13" s="4" t="s">
        <v>36</v>
      </c>
      <c r="H13" s="5">
        <v>1</v>
      </c>
      <c r="I13" s="5">
        <v>1</v>
      </c>
      <c r="K13" s="4" t="s">
        <v>36</v>
      </c>
      <c r="L13" s="5">
        <v>1</v>
      </c>
      <c r="M13" s="5">
        <v>1</v>
      </c>
      <c r="O13" s="4" t="s">
        <v>36</v>
      </c>
      <c r="P13" s="5">
        <v>1</v>
      </c>
      <c r="Q13" s="5">
        <v>1</v>
      </c>
    </row>
    <row r="14" spans="1:17" x14ac:dyDescent="0.25">
      <c r="A14" s="2" t="s">
        <v>37</v>
      </c>
      <c r="B14" s="3">
        <v>0.64372469635627505</v>
      </c>
      <c r="C14" s="3">
        <v>0.28816986855409499</v>
      </c>
      <c r="D14" s="3">
        <f t="shared" si="0"/>
        <v>9.5952038906199077E-2</v>
      </c>
      <c r="E14" s="3">
        <f t="shared" si="1"/>
        <v>0.14064571375922108</v>
      </c>
      <c r="G14" s="4" t="s">
        <v>37</v>
      </c>
      <c r="H14" s="5">
        <v>0.54777265745007597</v>
      </c>
      <c r="I14" s="5">
        <v>0.185840707964601</v>
      </c>
      <c r="K14" s="4" t="s">
        <v>37</v>
      </c>
      <c r="L14" s="5">
        <v>0.25</v>
      </c>
      <c r="M14" s="5">
        <v>0.04</v>
      </c>
      <c r="O14" s="4" t="s">
        <v>37</v>
      </c>
      <c r="P14" s="5">
        <v>0.50307898259705397</v>
      </c>
      <c r="Q14" s="5">
        <v>0.188811188811188</v>
      </c>
    </row>
    <row r="15" spans="1:17" x14ac:dyDescent="0.25">
      <c r="A15" s="2" t="s">
        <v>38</v>
      </c>
      <c r="B15" s="3">
        <v>1</v>
      </c>
      <c r="C15" s="3">
        <v>1</v>
      </c>
      <c r="D15" s="3">
        <f t="shared" si="0"/>
        <v>0.10174880763116101</v>
      </c>
      <c r="E15" s="3">
        <f t="shared" si="1"/>
        <v>3.7758112094395946E-2</v>
      </c>
      <c r="G15" s="4" t="s">
        <v>38</v>
      </c>
      <c r="H15" s="5">
        <v>0.89825119236883899</v>
      </c>
      <c r="I15" s="5">
        <v>0.797468354430379</v>
      </c>
      <c r="K15" s="4" t="s">
        <v>38</v>
      </c>
      <c r="L15" s="5">
        <v>0.87070707070706999</v>
      </c>
      <c r="M15" s="5">
        <v>0.74193548387096697</v>
      </c>
      <c r="O15" s="4" t="s">
        <v>38</v>
      </c>
      <c r="P15" s="5">
        <v>0.96224188790560405</v>
      </c>
      <c r="Q15" s="5">
        <v>0.92452830188679203</v>
      </c>
    </row>
    <row r="16" spans="1:17" x14ac:dyDescent="0.25">
      <c r="A16" s="2" t="s">
        <v>39</v>
      </c>
      <c r="B16" s="3">
        <v>0.89022298456260696</v>
      </c>
      <c r="C16" s="3">
        <v>0.78194207836456497</v>
      </c>
      <c r="D16" s="3">
        <f t="shared" si="0"/>
        <v>-7.5860746227006004E-2</v>
      </c>
      <c r="E16" s="3">
        <f t="shared" si="1"/>
        <v>-4.5130550790928092E-2</v>
      </c>
      <c r="G16" s="4" t="s">
        <v>39</v>
      </c>
      <c r="H16" s="5">
        <v>0.96608373078961296</v>
      </c>
      <c r="I16" s="5">
        <v>0.93220338983050799</v>
      </c>
      <c r="K16" s="4" t="s">
        <v>39</v>
      </c>
      <c r="L16" s="5">
        <v>0.96608373078961296</v>
      </c>
      <c r="M16" s="5">
        <v>0.93220338983050799</v>
      </c>
      <c r="O16" s="4" t="s">
        <v>39</v>
      </c>
      <c r="P16" s="5">
        <v>0.93535353535353505</v>
      </c>
      <c r="Q16" s="5">
        <v>0.87070707070706999</v>
      </c>
    </row>
    <row r="17" spans="1:17" x14ac:dyDescent="0.25">
      <c r="A17" s="2" t="s">
        <v>40</v>
      </c>
      <c r="B17" s="3">
        <v>0.84548527281506503</v>
      </c>
      <c r="C17" s="3">
        <v>0.69230769230769196</v>
      </c>
      <c r="D17" s="3">
        <f t="shared" si="0"/>
        <v>0.16588577344084798</v>
      </c>
      <c r="E17" s="3">
        <f t="shared" si="1"/>
        <v>0.10364442206332403</v>
      </c>
      <c r="G17" s="4" t="s">
        <v>40</v>
      </c>
      <c r="H17" s="5">
        <v>0.67959949937421704</v>
      </c>
      <c r="I17" s="5">
        <v>0.38682634730538901</v>
      </c>
      <c r="K17" s="4" t="s">
        <v>40</v>
      </c>
      <c r="L17" s="5">
        <v>0.76029962546816399</v>
      </c>
      <c r="M17" s="5">
        <v>0.527272727272727</v>
      </c>
      <c r="O17" s="4" t="s">
        <v>40</v>
      </c>
      <c r="P17" s="5">
        <v>0.741840850751741</v>
      </c>
      <c r="Q17" s="5">
        <v>0.48837209302325502</v>
      </c>
    </row>
    <row r="18" spans="1:17" x14ac:dyDescent="0.25">
      <c r="A18" s="2" t="s">
        <v>41</v>
      </c>
      <c r="B18" s="3">
        <v>0.70833333333333304</v>
      </c>
      <c r="C18" s="3">
        <v>0.43505674653215598</v>
      </c>
      <c r="D18" s="3">
        <f t="shared" si="0"/>
        <v>8.859683113751804E-2</v>
      </c>
      <c r="E18" s="3">
        <f t="shared" si="1"/>
        <v>9.4457013574661075E-2</v>
      </c>
      <c r="G18" s="4" t="s">
        <v>41</v>
      </c>
      <c r="H18" s="5">
        <v>0.619736502195815</v>
      </c>
      <c r="I18" s="5">
        <v>0.24897959183673399</v>
      </c>
      <c r="K18" s="4" t="s">
        <v>41</v>
      </c>
      <c r="L18" s="5">
        <v>0.53046251993620397</v>
      </c>
      <c r="M18" s="5">
        <v>0.19650655021833999</v>
      </c>
      <c r="O18" s="4" t="s">
        <v>41</v>
      </c>
      <c r="P18" s="5">
        <v>0.61387631975867196</v>
      </c>
      <c r="Q18" s="5">
        <v>0.29573590096286101</v>
      </c>
    </row>
    <row r="19" spans="1:17" x14ac:dyDescent="0.25">
      <c r="A19" s="2" t="s">
        <v>42</v>
      </c>
      <c r="B19" s="3">
        <v>0.91989987484355396</v>
      </c>
      <c r="C19" s="3">
        <v>0.84</v>
      </c>
      <c r="D19" s="3">
        <f t="shared" si="0"/>
        <v>3.2332081768879917E-3</v>
      </c>
      <c r="E19" s="3">
        <f t="shared" si="1"/>
        <v>-2.3076068132389049E-2</v>
      </c>
      <c r="G19" s="4" t="s">
        <v>42</v>
      </c>
      <c r="H19" s="5">
        <v>0.91666666666666596</v>
      </c>
      <c r="I19" s="5">
        <v>0.83419689119170903</v>
      </c>
      <c r="K19" s="4" t="s">
        <v>42</v>
      </c>
      <c r="L19" s="5">
        <v>0.89792663476874002</v>
      </c>
      <c r="M19" s="5">
        <v>0.797468354430379</v>
      </c>
      <c r="O19" s="4" t="s">
        <v>42</v>
      </c>
      <c r="P19" s="5">
        <v>0.942975942975943</v>
      </c>
      <c r="Q19" s="5">
        <v>0.88598574821852705</v>
      </c>
    </row>
    <row r="20" spans="1:17" x14ac:dyDescent="0.25">
      <c r="A20" s="2" t="s">
        <v>43</v>
      </c>
      <c r="B20" s="3">
        <v>0.91028875805999399</v>
      </c>
      <c r="C20" s="3">
        <v>0.82182628062360796</v>
      </c>
      <c r="D20" s="3">
        <f t="shared" si="0"/>
        <v>-5.2284341355209984E-2</v>
      </c>
      <c r="E20" s="3">
        <f t="shared" si="1"/>
        <v>-3.2687184915949019E-2</v>
      </c>
      <c r="G20" s="4" t="s">
        <v>43</v>
      </c>
      <c r="H20" s="5">
        <v>0.96257309941520397</v>
      </c>
      <c r="I20" s="5">
        <v>0.92523364485981296</v>
      </c>
      <c r="K20" s="4" t="s">
        <v>43</v>
      </c>
      <c r="L20" s="5">
        <v>0.94468452895419097</v>
      </c>
      <c r="M20" s="5">
        <v>0.88940092165898599</v>
      </c>
      <c r="O20" s="4" t="s">
        <v>43</v>
      </c>
      <c r="P20" s="5">
        <v>0.942975942975943</v>
      </c>
      <c r="Q20" s="5">
        <v>0.88598574821852705</v>
      </c>
    </row>
    <row r="21" spans="1:17" x14ac:dyDescent="0.25">
      <c r="A21" s="2" t="s">
        <v>44</v>
      </c>
      <c r="B21" s="3">
        <v>0.91666666666666596</v>
      </c>
      <c r="C21" s="3">
        <v>0.83333333333333304</v>
      </c>
      <c r="D21" s="3">
        <f t="shared" si="0"/>
        <v>0.157993966817496</v>
      </c>
      <c r="E21" s="3">
        <f t="shared" si="1"/>
        <v>-3.2332081768879917E-3</v>
      </c>
      <c r="G21" s="4" t="s">
        <v>44</v>
      </c>
      <c r="H21" s="5">
        <v>0.75867269984916996</v>
      </c>
      <c r="I21" s="5">
        <v>0.52380952380952295</v>
      </c>
      <c r="K21" s="4" t="s">
        <v>44</v>
      </c>
      <c r="L21" s="5">
        <v>0.72571428571428498</v>
      </c>
      <c r="M21" s="5">
        <v>0.463687150837988</v>
      </c>
      <c r="O21" s="4" t="s">
        <v>44</v>
      </c>
      <c r="P21" s="5">
        <v>0.91989987484355396</v>
      </c>
      <c r="Q21" s="5">
        <v>0.84</v>
      </c>
    </row>
    <row r="22" spans="1:17" x14ac:dyDescent="0.25">
      <c r="C22" s="3"/>
    </row>
    <row r="23" spans="1:17" x14ac:dyDescent="0.25">
      <c r="A23" s="7" t="s">
        <v>23</v>
      </c>
      <c r="B23" s="7"/>
      <c r="C23" s="7"/>
      <c r="D23" s="7"/>
    </row>
    <row r="24" spans="1:17" x14ac:dyDescent="0.25">
      <c r="A24" s="2" t="s">
        <v>25</v>
      </c>
      <c r="B24" s="4" t="s">
        <v>18</v>
      </c>
      <c r="C24" s="4" t="s">
        <v>20</v>
      </c>
      <c r="D24" s="4" t="s">
        <v>51</v>
      </c>
      <c r="E24" s="4" t="s">
        <v>50</v>
      </c>
    </row>
    <row r="25" spans="1:17" x14ac:dyDescent="0.25">
      <c r="A25" s="2" t="s">
        <v>26</v>
      </c>
      <c r="B25" s="3">
        <v>0.61334384029419398</v>
      </c>
      <c r="C25" s="3">
        <v>0.22689075630252001</v>
      </c>
      <c r="D25" s="3">
        <f>B25-H3</f>
        <v>-0.10630572165824603</v>
      </c>
      <c r="E25" s="3">
        <f>B25-L3</f>
        <v>-0.13104940087324002</v>
      </c>
    </row>
    <row r="26" spans="1:17" x14ac:dyDescent="0.25">
      <c r="A26" s="2" t="s">
        <v>27</v>
      </c>
      <c r="B26" s="3">
        <v>0.78737541528239197</v>
      </c>
      <c r="C26" s="3">
        <v>0.57662624035281096</v>
      </c>
      <c r="D26" s="3">
        <f t="shared" ref="D26:D43" si="2">B26-H4</f>
        <v>0.16237541528239197</v>
      </c>
      <c r="E26" s="3">
        <f t="shared" ref="E26:E43" si="3">B26-L4</f>
        <v>-9.0190704015949974E-3</v>
      </c>
    </row>
    <row r="27" spans="1:17" x14ac:dyDescent="0.25">
      <c r="A27" s="2" t="s">
        <v>28</v>
      </c>
      <c r="B27" s="3">
        <v>0.63954943679599496</v>
      </c>
      <c r="C27" s="3">
        <v>0.28268991282689898</v>
      </c>
      <c r="D27" s="3">
        <f t="shared" si="2"/>
        <v>-7.533027808371906E-2</v>
      </c>
      <c r="E27" s="3">
        <f t="shared" si="3"/>
        <v>0.10875764793969001</v>
      </c>
    </row>
    <row r="28" spans="1:17" x14ac:dyDescent="0.25">
      <c r="A28" s="2" t="s">
        <v>29</v>
      </c>
      <c r="B28" s="3">
        <v>0.45440454662877799</v>
      </c>
      <c r="C28" s="3">
        <v>8.1739130434782606E-2</v>
      </c>
      <c r="D28" s="3">
        <f t="shared" si="2"/>
        <v>5.011834078171018E-3</v>
      </c>
      <c r="E28" s="3">
        <f t="shared" si="3"/>
        <v>8.4946418549960989E-2</v>
      </c>
    </row>
    <row r="29" spans="1:17" x14ac:dyDescent="0.25">
      <c r="A29" s="2" t="s">
        <v>30</v>
      </c>
      <c r="B29" s="3">
        <v>0.83333333333333304</v>
      </c>
      <c r="C29" s="3">
        <v>0.67052767052767004</v>
      </c>
      <c r="D29" s="3">
        <f t="shared" si="2"/>
        <v>-1.5366430260046915E-2</v>
      </c>
      <c r="E29" s="3">
        <f t="shared" si="3"/>
        <v>-7.6955424726660948E-2</v>
      </c>
    </row>
    <row r="30" spans="1:17" x14ac:dyDescent="0.25">
      <c r="A30" s="2" t="s">
        <v>31</v>
      </c>
      <c r="B30" s="3">
        <v>0.62672322375397604</v>
      </c>
      <c r="C30" s="3">
        <v>0.32502396931927102</v>
      </c>
      <c r="D30" s="3">
        <f t="shared" si="2"/>
        <v>0</v>
      </c>
      <c r="E30" s="3">
        <f t="shared" si="3"/>
        <v>9.945049648124904E-2</v>
      </c>
    </row>
    <row r="31" spans="1:17" x14ac:dyDescent="0.25">
      <c r="A31" s="2" t="s">
        <v>32</v>
      </c>
      <c r="B31" s="3">
        <v>0.59014778325123096</v>
      </c>
      <c r="C31" s="3">
        <v>0.1875</v>
      </c>
      <c r="D31" s="3">
        <f t="shared" si="2"/>
        <v>9.5368053177383949E-2</v>
      </c>
      <c r="E31" s="3">
        <f t="shared" si="3"/>
        <v>4.427061173177993E-2</v>
      </c>
    </row>
    <row r="32" spans="1:17" x14ac:dyDescent="0.25">
      <c r="A32" s="2" t="s">
        <v>33</v>
      </c>
      <c r="B32" s="3">
        <v>0.71650055370985599</v>
      </c>
      <c r="C32" s="3">
        <v>0.47052740434332901</v>
      </c>
      <c r="D32" s="3">
        <f t="shared" si="2"/>
        <v>2.1518776305875953E-2</v>
      </c>
      <c r="E32" s="3">
        <f t="shared" si="3"/>
        <v>-1.7809580600278041E-2</v>
      </c>
    </row>
    <row r="33" spans="1:5" x14ac:dyDescent="0.25">
      <c r="A33" s="2" t="s">
        <v>34</v>
      </c>
      <c r="B33" s="3">
        <v>0.59256429844665104</v>
      </c>
      <c r="C33" s="3">
        <v>0.29701230228470998</v>
      </c>
      <c r="D33" s="3">
        <f t="shared" si="2"/>
        <v>-6.3685701553348961E-2</v>
      </c>
      <c r="E33" s="3">
        <f t="shared" si="3"/>
        <v>7.8394257960822E-2</v>
      </c>
    </row>
    <row r="34" spans="1:5" x14ac:dyDescent="0.25">
      <c r="A34" s="2" t="s">
        <v>35</v>
      </c>
      <c r="B34" s="3">
        <v>0.95833333333333304</v>
      </c>
      <c r="C34" s="3">
        <v>0.91677503250975201</v>
      </c>
      <c r="D34" s="3">
        <f t="shared" si="2"/>
        <v>-4.1666666666666963E-2</v>
      </c>
      <c r="E34" s="3">
        <f t="shared" si="3"/>
        <v>-2.038299523334397E-2</v>
      </c>
    </row>
    <row r="35" spans="1:5" x14ac:dyDescent="0.25">
      <c r="A35" s="2" t="s">
        <v>36</v>
      </c>
      <c r="B35" s="3">
        <v>0.882654932159882</v>
      </c>
      <c r="C35" s="3">
        <v>0.76539589442815203</v>
      </c>
      <c r="D35" s="3">
        <f t="shared" si="2"/>
        <v>-0.117345067840118</v>
      </c>
      <c r="E35" s="3">
        <f t="shared" si="3"/>
        <v>-0.117345067840118</v>
      </c>
    </row>
    <row r="36" spans="1:5" x14ac:dyDescent="0.25">
      <c r="A36" s="2" t="s">
        <v>37</v>
      </c>
      <c r="B36" s="3">
        <v>0.57129186602870796</v>
      </c>
      <c r="C36" s="3">
        <v>0.21495327102803699</v>
      </c>
      <c r="D36" s="3">
        <f t="shared" si="2"/>
        <v>2.3519208578631989E-2</v>
      </c>
      <c r="E36" s="3">
        <f t="shared" si="3"/>
        <v>0.32129186602870796</v>
      </c>
    </row>
    <row r="37" spans="1:5" x14ac:dyDescent="0.25">
      <c r="A37" s="2" t="s">
        <v>38</v>
      </c>
      <c r="B37" s="3">
        <v>0.89825119236883899</v>
      </c>
      <c r="C37" s="3">
        <v>0.797468354430379</v>
      </c>
      <c r="D37" s="3">
        <f t="shared" si="2"/>
        <v>0</v>
      </c>
      <c r="E37" s="3">
        <f t="shared" si="3"/>
        <v>2.7544121661769005E-2</v>
      </c>
    </row>
    <row r="38" spans="1:5" x14ac:dyDescent="0.25">
      <c r="A38" s="2" t="s">
        <v>39</v>
      </c>
      <c r="B38" s="3">
        <v>0.85758789497107202</v>
      </c>
      <c r="C38" s="3">
        <v>0.71830985915492895</v>
      </c>
      <c r="D38" s="3">
        <f t="shared" si="2"/>
        <v>-0.10849583581854094</v>
      </c>
      <c r="E38" s="3">
        <f t="shared" si="3"/>
        <v>-0.10849583581854094</v>
      </c>
    </row>
    <row r="39" spans="1:5" x14ac:dyDescent="0.25">
      <c r="A39" s="2" t="s">
        <v>40</v>
      </c>
      <c r="B39" s="3">
        <v>0.68074492850016599</v>
      </c>
      <c r="C39" s="3">
        <v>0.40594059405940502</v>
      </c>
      <c r="D39" s="3">
        <f t="shared" si="2"/>
        <v>1.1454291259489491E-3</v>
      </c>
      <c r="E39" s="3">
        <f t="shared" si="3"/>
        <v>-7.9554696967997995E-2</v>
      </c>
    </row>
    <row r="40" spans="1:5" x14ac:dyDescent="0.25">
      <c r="A40" s="2" t="s">
        <v>41</v>
      </c>
      <c r="B40" s="3">
        <v>0.61279170267934302</v>
      </c>
      <c r="C40" s="3">
        <v>0.28510638297872298</v>
      </c>
      <c r="D40" s="3">
        <f t="shared" si="2"/>
        <v>-6.9447995164719778E-3</v>
      </c>
      <c r="E40" s="3">
        <f t="shared" si="3"/>
        <v>8.2329182743139051E-2</v>
      </c>
    </row>
    <row r="41" spans="1:5" x14ac:dyDescent="0.25">
      <c r="A41" s="2" t="s">
        <v>42</v>
      </c>
      <c r="B41" s="3">
        <v>0.91292517006802698</v>
      </c>
      <c r="C41" s="3">
        <v>0.82608695652173902</v>
      </c>
      <c r="D41" s="3">
        <f t="shared" si="2"/>
        <v>-3.7414965986389825E-3</v>
      </c>
      <c r="E41" s="3">
        <f t="shared" si="3"/>
        <v>1.4998535299286964E-2</v>
      </c>
    </row>
    <row r="42" spans="1:5" x14ac:dyDescent="0.25">
      <c r="A42" s="2" t="s">
        <v>43</v>
      </c>
      <c r="B42" s="3">
        <v>0.91244870041039605</v>
      </c>
      <c r="C42" s="3">
        <v>0.82532751091703005</v>
      </c>
      <c r="D42" s="3">
        <f t="shared" si="2"/>
        <v>-5.0124399004807918E-2</v>
      </c>
      <c r="E42" s="3">
        <f t="shared" si="3"/>
        <v>-3.223582854379492E-2</v>
      </c>
    </row>
    <row r="43" spans="1:5" x14ac:dyDescent="0.25">
      <c r="A43" s="2" t="s">
        <v>44</v>
      </c>
      <c r="B43" s="3">
        <v>0.75867269984916996</v>
      </c>
      <c r="C43" s="3">
        <v>0.52380952380952295</v>
      </c>
      <c r="D43" s="3">
        <f t="shared" si="2"/>
        <v>0</v>
      </c>
      <c r="E43" s="3">
        <f t="shared" si="3"/>
        <v>3.2958414134884984E-2</v>
      </c>
    </row>
    <row r="44" spans="1:5" x14ac:dyDescent="0.25">
      <c r="B44" s="3"/>
    </row>
    <row r="45" spans="1:5" x14ac:dyDescent="0.25">
      <c r="A45" s="7" t="s">
        <v>22</v>
      </c>
      <c r="B45" s="7"/>
      <c r="C45" s="7"/>
      <c r="D45" s="7"/>
    </row>
    <row r="46" spans="1:5" x14ac:dyDescent="0.25">
      <c r="A46" s="2" t="s">
        <v>25</v>
      </c>
      <c r="B46" s="4" t="s">
        <v>18</v>
      </c>
      <c r="C46" s="4" t="s">
        <v>20</v>
      </c>
      <c r="D46" s="4" t="s">
        <v>51</v>
      </c>
      <c r="E46" s="4" t="s">
        <v>49</v>
      </c>
    </row>
    <row r="47" spans="1:5" x14ac:dyDescent="0.25">
      <c r="A47" s="2" t="s">
        <v>26</v>
      </c>
      <c r="B47" s="3">
        <v>0.49758454106280098</v>
      </c>
      <c r="C47" s="3">
        <v>3.7037037037037E-2</v>
      </c>
      <c r="D47" s="3">
        <f>B47-P3</f>
        <v>-0.36991028295376199</v>
      </c>
      <c r="E47" s="3">
        <f>B47-L3</f>
        <v>-0.24680870010463302</v>
      </c>
    </row>
    <row r="48" spans="1:5" x14ac:dyDescent="0.25">
      <c r="A48" s="2" t="s">
        <v>27</v>
      </c>
      <c r="B48" s="3">
        <v>0.82281284606866001</v>
      </c>
      <c r="C48" s="3">
        <v>0.64718853362734197</v>
      </c>
      <c r="D48" s="3">
        <f t="shared" ref="D48:D65" si="4">B48-P4</f>
        <v>0.23947951273532697</v>
      </c>
      <c r="E48" s="3">
        <f t="shared" ref="E48:E65" si="5">B48-L4</f>
        <v>2.6418360384673045E-2</v>
      </c>
    </row>
    <row r="49" spans="1:5" x14ac:dyDescent="0.25">
      <c r="A49" s="2" t="s">
        <v>28</v>
      </c>
      <c r="B49" s="3">
        <v>0.49951124144672499</v>
      </c>
      <c r="C49" s="3">
        <v>0.199374511336982</v>
      </c>
      <c r="D49" s="3">
        <f t="shared" si="4"/>
        <v>-1.5995474059990022E-2</v>
      </c>
      <c r="E49" s="3">
        <f t="shared" si="5"/>
        <v>-3.1280547409579973E-2</v>
      </c>
    </row>
    <row r="50" spans="1:5" x14ac:dyDescent="0.25">
      <c r="A50" s="2" t="s">
        <v>29</v>
      </c>
      <c r="B50" s="3">
        <v>0.52722298221614206</v>
      </c>
      <c r="C50" s="3">
        <v>7.4946466809421797E-2</v>
      </c>
      <c r="D50" s="3">
        <f t="shared" si="4"/>
        <v>-0.327322472329312</v>
      </c>
      <c r="E50" s="3">
        <f t="shared" si="5"/>
        <v>0.15776485413732505</v>
      </c>
    </row>
    <row r="51" spans="1:5" x14ac:dyDescent="0.25">
      <c r="A51" s="2" t="s">
        <v>30</v>
      </c>
      <c r="B51" s="3">
        <v>0.74439324116743399</v>
      </c>
      <c r="C51" s="3">
        <v>0.50119904076738597</v>
      </c>
      <c r="D51" s="3">
        <f t="shared" si="4"/>
        <v>-0.12432470755051406</v>
      </c>
      <c r="E51" s="3">
        <f t="shared" si="5"/>
        <v>-0.16589551689255999</v>
      </c>
    </row>
    <row r="52" spans="1:5" x14ac:dyDescent="0.25">
      <c r="A52" s="2" t="s">
        <v>31</v>
      </c>
      <c r="B52" s="3">
        <v>0.76296296296296295</v>
      </c>
      <c r="C52" s="3">
        <v>0.53369763205828702</v>
      </c>
      <c r="D52" s="3">
        <f t="shared" si="4"/>
        <v>-5.9259259259259012E-2</v>
      </c>
      <c r="E52" s="3">
        <f t="shared" si="5"/>
        <v>0.23569023569023595</v>
      </c>
    </row>
    <row r="53" spans="1:5" x14ac:dyDescent="0.25">
      <c r="A53" s="2" t="s">
        <v>32</v>
      </c>
      <c r="B53" s="3">
        <v>0.66525529265255201</v>
      </c>
      <c r="C53" s="3">
        <v>0.34375</v>
      </c>
      <c r="D53" s="3">
        <f t="shared" si="4"/>
        <v>-0.10286064937643302</v>
      </c>
      <c r="E53" s="3">
        <f t="shared" si="5"/>
        <v>0.11937812113310098</v>
      </c>
    </row>
    <row r="54" spans="1:5" x14ac:dyDescent="0.25">
      <c r="A54" s="2" t="s">
        <v>33</v>
      </c>
      <c r="B54" s="3">
        <v>0.57972156553716803</v>
      </c>
      <c r="C54" s="3">
        <v>0.24670433145009399</v>
      </c>
      <c r="D54" s="3">
        <f t="shared" si="4"/>
        <v>2.0866846555195995E-2</v>
      </c>
      <c r="E54" s="3">
        <f t="shared" si="5"/>
        <v>-0.15458856877296601</v>
      </c>
    </row>
    <row r="55" spans="1:5" x14ac:dyDescent="0.25">
      <c r="A55" s="2" t="s">
        <v>34</v>
      </c>
      <c r="B55" s="3">
        <v>0.694902823615694</v>
      </c>
      <c r="C55" s="3">
        <v>0.39002932551319602</v>
      </c>
      <c r="D55" s="3">
        <f t="shared" si="4"/>
        <v>2.2175550888422046E-2</v>
      </c>
      <c r="E55" s="3">
        <f t="shared" si="5"/>
        <v>0.18073278312986496</v>
      </c>
    </row>
    <row r="56" spans="1:5" x14ac:dyDescent="0.25">
      <c r="A56" s="2" t="s">
        <v>35</v>
      </c>
      <c r="B56" s="3">
        <v>0.93875598086124401</v>
      </c>
      <c r="C56" s="3">
        <v>0.87755102040816302</v>
      </c>
      <c r="D56" s="3">
        <f t="shared" si="4"/>
        <v>-3.9960347705432997E-2</v>
      </c>
      <c r="E56" s="3">
        <f t="shared" si="5"/>
        <v>-3.9960347705432997E-2</v>
      </c>
    </row>
    <row r="57" spans="1:5" x14ac:dyDescent="0.25">
      <c r="A57" s="2" t="s">
        <v>36</v>
      </c>
      <c r="B57" s="3">
        <v>0.882654932159882</v>
      </c>
      <c r="C57" s="3">
        <v>0.76539589442815203</v>
      </c>
      <c r="D57" s="3">
        <f t="shared" si="4"/>
        <v>-0.117345067840118</v>
      </c>
      <c r="E57" s="3">
        <f t="shared" si="5"/>
        <v>-0.117345067840118</v>
      </c>
    </row>
    <row r="58" spans="1:5" x14ac:dyDescent="0.25">
      <c r="A58" s="2" t="s">
        <v>37</v>
      </c>
      <c r="B58" s="3">
        <v>0.44523246650906201</v>
      </c>
      <c r="C58" s="3">
        <v>0.114093959731543</v>
      </c>
      <c r="D58" s="3">
        <f t="shared" si="4"/>
        <v>-5.7846516087991962E-2</v>
      </c>
      <c r="E58" s="3">
        <f t="shared" si="5"/>
        <v>0.19523246650906201</v>
      </c>
    </row>
    <row r="59" spans="1:5" x14ac:dyDescent="0.25">
      <c r="A59" s="2" t="s">
        <v>38</v>
      </c>
      <c r="B59" s="3">
        <v>0.96224188790560405</v>
      </c>
      <c r="C59" s="3">
        <v>0.92452830188679203</v>
      </c>
      <c r="D59" s="3">
        <f t="shared" si="4"/>
        <v>0</v>
      </c>
      <c r="E59" s="3">
        <f t="shared" si="5"/>
        <v>9.1534817198534069E-2</v>
      </c>
    </row>
    <row r="60" spans="1:5" x14ac:dyDescent="0.25">
      <c r="A60" s="2" t="s">
        <v>39</v>
      </c>
      <c r="B60" s="3">
        <v>0.83533447684391005</v>
      </c>
      <c r="C60" s="3">
        <v>0.67291311754684802</v>
      </c>
      <c r="D60" s="3">
        <f t="shared" si="4"/>
        <v>-0.100019058509625</v>
      </c>
      <c r="E60" s="3">
        <f t="shared" si="5"/>
        <v>-0.13074925394570291</v>
      </c>
    </row>
    <row r="61" spans="1:5" x14ac:dyDescent="0.25">
      <c r="A61" s="2" t="s">
        <v>40</v>
      </c>
      <c r="B61" s="3">
        <v>0.74358974358974295</v>
      </c>
      <c r="C61" s="3">
        <v>0.5</v>
      </c>
      <c r="D61" s="3">
        <f t="shared" si="4"/>
        <v>1.7488928380019475E-3</v>
      </c>
      <c r="E61" s="3">
        <f t="shared" si="5"/>
        <v>-1.670988187842104E-2</v>
      </c>
    </row>
    <row r="62" spans="1:5" x14ac:dyDescent="0.25">
      <c r="A62" s="2" t="s">
        <v>41</v>
      </c>
      <c r="B62" s="3">
        <v>0.78571428571428503</v>
      </c>
      <c r="C62" s="3">
        <v>0.57986870897155296</v>
      </c>
      <c r="D62" s="3">
        <f t="shared" si="4"/>
        <v>0.17183796595561307</v>
      </c>
      <c r="E62" s="3">
        <f t="shared" si="5"/>
        <v>0.25525176577808106</v>
      </c>
    </row>
    <row r="63" spans="1:5" x14ac:dyDescent="0.25">
      <c r="A63" s="2" t="s">
        <v>42</v>
      </c>
      <c r="B63" s="3">
        <v>0.90168970814132099</v>
      </c>
      <c r="C63" s="3">
        <v>0.80392156862745101</v>
      </c>
      <c r="D63" s="3">
        <f t="shared" si="4"/>
        <v>-4.1286234834622015E-2</v>
      </c>
      <c r="E63" s="3">
        <f t="shared" si="5"/>
        <v>3.7630733725809717E-3</v>
      </c>
    </row>
    <row r="64" spans="1:5" x14ac:dyDescent="0.25">
      <c r="A64" s="2" t="s">
        <v>43</v>
      </c>
      <c r="B64" s="3">
        <v>0.92912513842746403</v>
      </c>
      <c r="C64" s="3">
        <v>0.85887541345093699</v>
      </c>
      <c r="D64" s="3">
        <f t="shared" si="4"/>
        <v>-1.3850804548478979E-2</v>
      </c>
      <c r="E64" s="3">
        <f t="shared" si="5"/>
        <v>-1.5559390526726946E-2</v>
      </c>
    </row>
    <row r="65" spans="1:5" x14ac:dyDescent="0.25">
      <c r="A65" s="2" t="s">
        <v>44</v>
      </c>
      <c r="B65" s="3">
        <v>0.87984981226533099</v>
      </c>
      <c r="C65" s="3">
        <v>0.76</v>
      </c>
      <c r="D65" s="3">
        <f t="shared" si="4"/>
        <v>-4.0050062578222967E-2</v>
      </c>
      <c r="E65" s="3">
        <f t="shared" si="5"/>
        <v>0.15413552655104601</v>
      </c>
    </row>
  </sheetData>
  <mergeCells count="6">
    <mergeCell ref="K1:M1"/>
    <mergeCell ref="O1:Q1"/>
    <mergeCell ref="A45:D45"/>
    <mergeCell ref="A23:D23"/>
    <mergeCell ref="A1:D1"/>
    <mergeCell ref="G1:I1"/>
  </mergeCells>
  <conditionalFormatting sqref="A2:A21 H23:Q1048576 H2:Q21 J1:K1 N1:O1">
    <cfRule type="colorScale" priority="3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A24:A43">
    <cfRule type="colorScale" priority="3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A46:A65">
    <cfRule type="colorScale" priority="30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3:B21">
    <cfRule type="colorScale" priority="20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25:B44">
    <cfRule type="colorScale" priority="18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47:B65">
    <cfRule type="colorScale" priority="16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1:C1048576">
    <cfRule type="colorScale" priority="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46:C46">
    <cfRule type="colorScale" priority="2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2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E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2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24:E2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24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C3:C22">
    <cfRule type="colorScale" priority="19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C25:C43">
    <cfRule type="colorScale" priority="1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C47:C65">
    <cfRule type="colorScale" priority="15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D1:E23 D47:E1048576 D25:E45">
    <cfRule type="colorScale" priority="6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conditionalFormatting sqref="D24:E24">
    <cfRule type="colorScale" priority="5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D46:E4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3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1">
    <cfRule type="colorScale" priority="45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46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21">
    <cfRule type="colorScale" priority="48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49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1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L2:M21">
    <cfRule type="colorScale" priority="5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52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9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P2:Q21">
    <cfRule type="colorScale" priority="54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55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GPT-OSS-20B</vt:lpstr>
      <vt:lpstr>GPT-OSS-2OB-diff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2026-04-11T09:14:00Z</dcterms:modified>
</cp:coreProperties>
</file>