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pos\Using-LLM-for-automated-feedback-generation-on-a-bachelor-thesis\src\results\llm\actionable_feedback_01\"/>
    </mc:Choice>
  </mc:AlternateContent>
  <xr:revisionPtr revIDLastSave="0" documentId="13_ncr:1_{3A2C7863-239A-4774-A184-F36ABFE5B972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Overall" sheetId="4" r:id="rId1"/>
    <sheet name="gemma4-26b-q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4" l="1"/>
  <c r="G22" i="4"/>
  <c r="G18" i="4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50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27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4" i="2"/>
  <c r="G12" i="4"/>
  <c r="G8" i="4"/>
  <c r="G4" i="4"/>
</calcChain>
</file>

<file path=xl/sharedStrings.xml><?xml version="1.0" encoding="utf-8"?>
<sst xmlns="http://schemas.openxmlformats.org/spreadsheetml/2006/main" count="244" uniqueCount="37">
  <si>
    <t>Model</t>
  </si>
  <si>
    <t>Precision_positive</t>
  </si>
  <si>
    <t>Recall_positive</t>
  </si>
  <si>
    <t>F1_macro</t>
  </si>
  <si>
    <t>F1_positive</t>
  </si>
  <si>
    <t>CohenKappa</t>
  </si>
  <si>
    <t>Model vs human3</t>
  </si>
  <si>
    <t>Model vs human2</t>
  </si>
  <si>
    <t>Model vs human1</t>
  </si>
  <si>
    <t>Question</t>
  </si>
  <si>
    <t>Significance</t>
  </si>
  <si>
    <t>State_of_the_art</t>
  </si>
  <si>
    <t>Gap</t>
  </si>
  <si>
    <t>Problem</t>
  </si>
  <si>
    <t>References</t>
  </si>
  <si>
    <t>Purpose</t>
  </si>
  <si>
    <t>Intention</t>
  </si>
  <si>
    <t>Structure_goal</t>
  </si>
  <si>
    <t>Congruence</t>
  </si>
  <si>
    <t>Outlook</t>
  </si>
  <si>
    <t>Quantity</t>
  </si>
  <si>
    <t>Completeness</t>
  </si>
  <si>
    <t>Format</t>
  </si>
  <si>
    <t>Structure_tasks</t>
  </si>
  <si>
    <t>Clarity</t>
  </si>
  <si>
    <t>Relevance</t>
  </si>
  <si>
    <t>Chapters</t>
  </si>
  <si>
    <t>Description</t>
  </si>
  <si>
    <t>Structure_afterTasks</t>
  </si>
  <si>
    <t>Average</t>
  </si>
  <si>
    <t>gemma4-26b-q4</t>
  </si>
  <si>
    <t>Results with actionable feedback (json-repair parsing)</t>
  </si>
  <si>
    <t>OG results without requirement for actionable feedback (json-repair parsing). Data from results for_presentation_initial_testing.xlsx file</t>
  </si>
  <si>
    <t>F1_macro diff</t>
  </si>
  <si>
    <t>F1_macro diff to UP</t>
  </si>
  <si>
    <t>F1_macro diff to RIGHT</t>
  </si>
  <si>
    <t>Results if account for "nesaskaņas" where there were disrepancies in rubrics or human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</si>
</sst>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3" applyNumberFormat="0" applyAlignment="0" applyProtection="0"/>
  </cellStyleXfs>
  <cellXfs count="19">
    <xf numFmtId="0" fontId="0" fillId="0" borderId="0" xfId="0"/>
    <xf numFmtId="2" fontId="1" fillId="0" borderId="0" xfId="0" applyNumberFormat="1" applyFont="1"/>
    <xf numFmtId="2" fontId="0" fillId="0" borderId="0" xfId="0" applyNumberFormat="1"/>
    <xf numFmtId="10" fontId="1" fillId="0" borderId="0" xfId="0" applyNumberFormat="1" applyFont="1"/>
    <xf numFmtId="10" fontId="0" fillId="0" borderId="0" xfId="0" applyNumberFormat="1"/>
    <xf numFmtId="10" fontId="1" fillId="0" borderId="1" xfId="0" applyNumberFormat="1" applyFont="1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10" fontId="2" fillId="2" borderId="0" xfId="1" applyNumberFormat="1"/>
    <xf numFmtId="10" fontId="3" fillId="3" borderId="0" xfId="2" applyNumberFormat="1"/>
    <xf numFmtId="10" fontId="0" fillId="0" borderId="4" xfId="0" applyNumberFormat="1" applyBorder="1"/>
    <xf numFmtId="10" fontId="1" fillId="0" borderId="4" xfId="0" applyNumberFormat="1" applyFont="1" applyBorder="1"/>
    <xf numFmtId="10" fontId="4" fillId="4" borderId="3" xfId="3" applyNumberFormat="1"/>
    <xf numFmtId="2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4" borderId="3" xfId="3"/>
    <xf numFmtId="10" fontId="1" fillId="0" borderId="1" xfId="0" applyNumberFormat="1" applyFont="1" applyBorder="1" applyAlignment="1">
      <alignment horizontal="center"/>
    </xf>
  </cellXfs>
  <cellStyles count="4">
    <cellStyle name="Bad" xfId="2" builtinId="27"/>
    <cellStyle name="Check Cell" xfId="3" builtinId="23"/>
    <cellStyle name="Good" xfId="1" builtinId="26"/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8CBD-665F-4514-96E7-546603B512CB}">
  <dimension ref="A1:P284"/>
  <sheetViews>
    <sheetView tabSelected="1" workbookViewId="0">
      <selection activeCell="E22" sqref="E22"/>
    </sheetView>
  </sheetViews>
  <sheetFormatPr defaultRowHeight="16.5" thickTop="1" thickBottom="1" x14ac:dyDescent="0.3"/>
  <cols>
    <col min="1" max="1" width="24.85546875" customWidth="1"/>
    <col min="2" max="2" width="18.28515625" style="4" customWidth="1"/>
    <col min="3" max="3" width="15.140625" style="4" customWidth="1"/>
    <col min="4" max="4" width="17.140625" style="4" customWidth="1"/>
    <col min="5" max="5" width="13.7109375" style="4" customWidth="1"/>
    <col min="6" max="6" width="14.140625" style="4" customWidth="1"/>
    <col min="7" max="7" width="21.7109375" style="4" customWidth="1"/>
    <col min="8" max="8" width="9.140625" style="17"/>
    <col min="9" max="9" width="17" customWidth="1"/>
    <col min="10" max="10" width="12.7109375" customWidth="1"/>
    <col min="11" max="11" width="23.7109375" customWidth="1"/>
    <col min="12" max="12" width="21.28515625" style="4" customWidth="1"/>
    <col min="13" max="13" width="18" style="4" customWidth="1"/>
    <col min="14" max="14" width="17.28515625" style="4" customWidth="1"/>
    <col min="15" max="16" width="13.42578125" style="4" customWidth="1"/>
    <col min="19" max="19" width="23.5703125" customWidth="1"/>
    <col min="20" max="20" width="10.85546875" customWidth="1"/>
    <col min="21" max="21" width="11.7109375" customWidth="1"/>
    <col min="22" max="22" width="12.28515625" customWidth="1"/>
  </cols>
  <sheetData>
    <row r="1" spans="1:16" ht="36" customHeight="1" thickTop="1" thickBot="1" x14ac:dyDescent="0.3">
      <c r="A1" s="14" t="s">
        <v>31</v>
      </c>
      <c r="B1" s="14"/>
      <c r="C1" s="14"/>
      <c r="D1" s="14"/>
      <c r="E1" s="14"/>
      <c r="F1" s="14"/>
      <c r="G1" s="7"/>
      <c r="I1" s="15" t="s">
        <v>32</v>
      </c>
      <c r="J1" s="15"/>
      <c r="K1" s="15"/>
      <c r="L1" s="15"/>
      <c r="M1" s="15"/>
      <c r="N1" s="15"/>
      <c r="O1"/>
      <c r="P1"/>
    </row>
    <row r="2" spans="1:16" thickTop="1" thickBot="1" x14ac:dyDescent="0.3">
      <c r="A2" s="16" t="s">
        <v>8</v>
      </c>
      <c r="B2" s="16"/>
      <c r="C2" s="16"/>
      <c r="D2" s="16"/>
      <c r="E2" s="16"/>
      <c r="F2" s="16"/>
      <c r="G2" s="7"/>
      <c r="I2" s="16" t="s">
        <v>8</v>
      </c>
      <c r="J2" s="16"/>
      <c r="K2" s="16"/>
      <c r="L2" s="16"/>
      <c r="M2" s="16"/>
      <c r="N2" s="16"/>
      <c r="O2"/>
      <c r="P2"/>
    </row>
    <row r="3" spans="1:16" thickTop="1" thickBot="1" x14ac:dyDescent="0.3">
      <c r="A3" s="6" t="s">
        <v>0</v>
      </c>
      <c r="B3" s="5" t="s">
        <v>1</v>
      </c>
      <c r="C3" s="5" t="s">
        <v>2</v>
      </c>
      <c r="D3" s="5" t="s">
        <v>4</v>
      </c>
      <c r="E3" s="5" t="s">
        <v>3</v>
      </c>
      <c r="F3" s="5" t="s">
        <v>5</v>
      </c>
      <c r="G3" s="3" t="s">
        <v>35</v>
      </c>
      <c r="I3" s="6" t="s">
        <v>0</v>
      </c>
      <c r="J3" s="5" t="s">
        <v>1</v>
      </c>
      <c r="K3" s="5" t="s">
        <v>2</v>
      </c>
      <c r="L3" s="5" t="s">
        <v>4</v>
      </c>
      <c r="M3" s="5" t="s">
        <v>3</v>
      </c>
      <c r="N3" s="5" t="s">
        <v>5</v>
      </c>
      <c r="O3"/>
      <c r="P3"/>
    </row>
    <row r="4" spans="1:16" thickTop="1" thickBot="1" x14ac:dyDescent="0.3">
      <c r="A4" s="6" t="s">
        <v>30</v>
      </c>
      <c r="B4" s="4">
        <v>0.87700534759358195</v>
      </c>
      <c r="C4" s="4">
        <v>0.90109890109890101</v>
      </c>
      <c r="D4" s="4">
        <v>0.88888888888888795</v>
      </c>
      <c r="E4" s="4">
        <v>0.85867038586703803</v>
      </c>
      <c r="F4" s="4">
        <v>0.71742087603155802</v>
      </c>
      <c r="G4" s="9">
        <f>E4-M4</f>
        <v>-1.4080728968007938E-2</v>
      </c>
      <c r="I4" s="6" t="s">
        <v>30</v>
      </c>
      <c r="J4" s="4">
        <v>0.86759142496847397</v>
      </c>
      <c r="K4" s="4">
        <v>0.94505494505494503</v>
      </c>
      <c r="L4" s="3">
        <v>0.90466798159105799</v>
      </c>
      <c r="M4" s="3">
        <v>0.87275111483504597</v>
      </c>
      <c r="N4" s="3">
        <v>0.74627587318398403</v>
      </c>
      <c r="O4"/>
      <c r="P4"/>
    </row>
    <row r="5" spans="1:16" thickTop="1" thickBot="1" x14ac:dyDescent="0.3">
      <c r="J5" s="4"/>
      <c r="K5" s="4"/>
      <c r="O5"/>
      <c r="P5"/>
    </row>
    <row r="6" spans="1:16" thickTop="1" thickBot="1" x14ac:dyDescent="0.3">
      <c r="A6" s="16" t="s">
        <v>7</v>
      </c>
      <c r="B6" s="16"/>
      <c r="C6" s="16"/>
      <c r="D6" s="16"/>
      <c r="E6" s="16"/>
      <c r="F6" s="16"/>
      <c r="G6" s="7"/>
      <c r="I6" s="16" t="s">
        <v>7</v>
      </c>
      <c r="J6" s="16"/>
      <c r="K6" s="16"/>
      <c r="L6" s="16"/>
      <c r="M6" s="16"/>
      <c r="N6" s="16"/>
      <c r="O6"/>
      <c r="P6"/>
    </row>
    <row r="7" spans="1:16" thickTop="1" thickBot="1" x14ac:dyDescent="0.3">
      <c r="A7" s="6" t="s">
        <v>0</v>
      </c>
      <c r="B7" s="5" t="s">
        <v>1</v>
      </c>
      <c r="C7" s="5" t="s">
        <v>2</v>
      </c>
      <c r="D7" s="5" t="s">
        <v>4</v>
      </c>
      <c r="E7" s="5" t="s">
        <v>3</v>
      </c>
      <c r="F7" s="5" t="s">
        <v>5</v>
      </c>
      <c r="G7" s="3"/>
      <c r="I7" s="6" t="s">
        <v>0</v>
      </c>
      <c r="J7" s="5" t="s">
        <v>1</v>
      </c>
      <c r="K7" s="5" t="s">
        <v>2</v>
      </c>
      <c r="L7" s="5" t="s">
        <v>4</v>
      </c>
      <c r="M7" s="5" t="s">
        <v>3</v>
      </c>
      <c r="N7" s="5" t="s">
        <v>5</v>
      </c>
      <c r="O7"/>
      <c r="P7"/>
    </row>
    <row r="8" spans="1:16" thickTop="1" thickBot="1" x14ac:dyDescent="0.3">
      <c r="A8" s="6" t="s">
        <v>30</v>
      </c>
      <c r="B8" s="4">
        <v>0.69117647058823495</v>
      </c>
      <c r="C8" s="4">
        <v>0.90701754385964894</v>
      </c>
      <c r="D8" s="4">
        <v>0.78452200303490105</v>
      </c>
      <c r="E8" s="4">
        <v>0.76479241982983803</v>
      </c>
      <c r="F8" s="4">
        <v>0.53952168625861296</v>
      </c>
      <c r="G8" s="8">
        <f>E8-M8</f>
        <v>2.6433608084069915E-3</v>
      </c>
      <c r="I8" s="6" t="s">
        <v>30</v>
      </c>
      <c r="J8" s="4">
        <v>0.679697351828499</v>
      </c>
      <c r="K8" s="4">
        <v>0.94561403508771902</v>
      </c>
      <c r="L8" s="3">
        <v>0.79090242112985998</v>
      </c>
      <c r="M8" s="4">
        <v>0.76214905902143104</v>
      </c>
      <c r="N8" s="4">
        <v>0.53999798244729103</v>
      </c>
      <c r="O8"/>
      <c r="P8"/>
    </row>
    <row r="9" spans="1:16" thickTop="1" thickBot="1" x14ac:dyDescent="0.3">
      <c r="J9" s="4"/>
      <c r="K9" s="4"/>
      <c r="O9"/>
      <c r="P9"/>
    </row>
    <row r="10" spans="1:16" thickTop="1" thickBot="1" x14ac:dyDescent="0.3">
      <c r="A10" s="16" t="s">
        <v>6</v>
      </c>
      <c r="B10" s="16"/>
      <c r="C10" s="16"/>
      <c r="D10" s="16"/>
      <c r="E10" s="16"/>
      <c r="F10" s="16"/>
      <c r="G10" s="7"/>
      <c r="I10" s="16" t="s">
        <v>6</v>
      </c>
      <c r="J10" s="16"/>
      <c r="K10" s="16"/>
      <c r="L10" s="16"/>
      <c r="M10" s="16"/>
      <c r="N10" s="16"/>
      <c r="O10"/>
      <c r="P10"/>
    </row>
    <row r="11" spans="1:16" thickTop="1" thickBot="1" x14ac:dyDescent="0.3">
      <c r="A11" s="6" t="s">
        <v>0</v>
      </c>
      <c r="B11" s="5" t="s">
        <v>1</v>
      </c>
      <c r="C11" s="5" t="s">
        <v>2</v>
      </c>
      <c r="D11" s="5" t="s">
        <v>4</v>
      </c>
      <c r="E11" s="5" t="s">
        <v>3</v>
      </c>
      <c r="F11" s="5" t="s">
        <v>5</v>
      </c>
      <c r="G11" s="3"/>
      <c r="I11" s="6" t="s">
        <v>0</v>
      </c>
      <c r="J11" s="5" t="s">
        <v>1</v>
      </c>
      <c r="K11" s="5" t="s">
        <v>2</v>
      </c>
      <c r="L11" s="5" t="s">
        <v>4</v>
      </c>
      <c r="M11" s="5" t="s">
        <v>3</v>
      </c>
      <c r="N11" s="5" t="s">
        <v>5</v>
      </c>
      <c r="O11"/>
      <c r="P11"/>
    </row>
    <row r="12" spans="1:16" thickTop="1" thickBot="1" x14ac:dyDescent="0.3">
      <c r="A12" s="6" t="s">
        <v>30</v>
      </c>
      <c r="B12" s="4">
        <v>0.89572192513368898</v>
      </c>
      <c r="C12" s="4">
        <v>0.83959899749373401</v>
      </c>
      <c r="D12" s="4">
        <v>0.86675291073738603</v>
      </c>
      <c r="E12" s="4">
        <v>0.81712363369826402</v>
      </c>
      <c r="F12" s="4">
        <v>0.63491360212671599</v>
      </c>
      <c r="G12" s="9">
        <f>E12-M12</f>
        <v>-2.2019106641831931E-2</v>
      </c>
      <c r="I12" s="6" t="s">
        <v>30</v>
      </c>
      <c r="J12" s="4">
        <v>0.89155107187894</v>
      </c>
      <c r="K12" s="4">
        <v>0.88596491228070096</v>
      </c>
      <c r="L12" s="3">
        <v>0.88874921433060905</v>
      </c>
      <c r="M12" s="3">
        <v>0.83914274034009595</v>
      </c>
      <c r="N12" s="3">
        <v>0.67829149153697599</v>
      </c>
      <c r="O12"/>
      <c r="P12"/>
    </row>
    <row r="13" spans="1:16" thickTop="1" thickBot="1" x14ac:dyDescent="0.3">
      <c r="A13" s="17"/>
      <c r="B13" s="12"/>
      <c r="C13" s="12"/>
      <c r="D13" s="12"/>
      <c r="E13" s="12"/>
      <c r="F13" s="12"/>
      <c r="G13" s="12"/>
      <c r="I13" s="17"/>
      <c r="J13" s="17"/>
      <c r="K13" s="17"/>
      <c r="L13" s="17"/>
      <c r="M13" s="17"/>
      <c r="N13" s="17"/>
      <c r="O13"/>
      <c r="P13"/>
    </row>
    <row r="14" spans="1:16" thickTop="1" thickBot="1" x14ac:dyDescent="0.3">
      <c r="A14" s="17"/>
      <c r="B14" s="12"/>
      <c r="C14" s="12"/>
      <c r="D14" s="12"/>
      <c r="E14" s="12"/>
      <c r="F14" s="12"/>
      <c r="G14" s="12"/>
      <c r="I14" s="17"/>
      <c r="J14" s="17"/>
      <c r="K14" s="17"/>
      <c r="L14" s="17"/>
      <c r="M14" s="17"/>
      <c r="N14" s="17"/>
      <c r="O14"/>
      <c r="P14"/>
    </row>
    <row r="15" spans="1:16" thickTop="1" thickBot="1" x14ac:dyDescent="0.3">
      <c r="A15" s="14" t="s">
        <v>36</v>
      </c>
      <c r="B15" s="14"/>
      <c r="C15" s="14"/>
      <c r="D15" s="14"/>
      <c r="E15" s="14"/>
      <c r="F15" s="14"/>
      <c r="G15" s="7"/>
      <c r="L15"/>
      <c r="M15"/>
      <c r="N15"/>
      <c r="O15"/>
      <c r="P15"/>
    </row>
    <row r="16" spans="1:16" thickTop="1" thickBot="1" x14ac:dyDescent="0.3">
      <c r="A16" s="16" t="s">
        <v>8</v>
      </c>
      <c r="B16" s="16"/>
      <c r="C16" s="16"/>
      <c r="D16" s="16"/>
      <c r="E16" s="16"/>
      <c r="F16" s="16"/>
      <c r="G16" s="7"/>
      <c r="L16"/>
      <c r="M16"/>
      <c r="N16"/>
      <c r="O16"/>
      <c r="P16"/>
    </row>
    <row r="17" spans="1:16" thickTop="1" thickBot="1" x14ac:dyDescent="0.3">
      <c r="A17" s="6" t="s">
        <v>0</v>
      </c>
      <c r="B17" s="5" t="s">
        <v>1</v>
      </c>
      <c r="C17" s="5" t="s">
        <v>2</v>
      </c>
      <c r="D17" s="5" t="s">
        <v>4</v>
      </c>
      <c r="E17" s="5" t="s">
        <v>3</v>
      </c>
      <c r="F17" s="5" t="s">
        <v>5</v>
      </c>
      <c r="G17" s="3" t="s">
        <v>34</v>
      </c>
      <c r="L17"/>
      <c r="M17"/>
      <c r="N17"/>
      <c r="O17"/>
      <c r="P17"/>
    </row>
    <row r="18" spans="1:16" thickTop="1" thickBot="1" x14ac:dyDescent="0.3">
      <c r="A18" s="5" t="s">
        <v>30</v>
      </c>
      <c r="B18" s="4">
        <v>0.87878787878787801</v>
      </c>
      <c r="C18" s="4">
        <v>0.91620879120879095</v>
      </c>
      <c r="D18" s="4">
        <v>0.89710827168796203</v>
      </c>
      <c r="E18" s="4">
        <v>0.86760175489159996</v>
      </c>
      <c r="F18" s="4">
        <v>0.73538447534305795</v>
      </c>
      <c r="G18" s="8">
        <f>E18-E4</f>
        <v>8.9313690245619304E-3</v>
      </c>
      <c r="L18"/>
      <c r="M18"/>
      <c r="N18"/>
      <c r="O18"/>
      <c r="P18"/>
    </row>
    <row r="19" spans="1:16" thickTop="1" thickBot="1" x14ac:dyDescent="0.3">
      <c r="A19" s="4"/>
      <c r="L19"/>
      <c r="M19"/>
      <c r="N19"/>
      <c r="O19"/>
      <c r="P19"/>
    </row>
    <row r="20" spans="1:16" thickTop="1" thickBot="1" x14ac:dyDescent="0.3">
      <c r="A20" s="18" t="s">
        <v>7</v>
      </c>
      <c r="B20" s="18"/>
      <c r="C20" s="18"/>
      <c r="D20" s="18"/>
      <c r="E20" s="18"/>
      <c r="F20" s="18"/>
      <c r="G20" s="7"/>
    </row>
    <row r="21" spans="1:16" thickTop="1" thickBot="1" x14ac:dyDescent="0.3">
      <c r="A21" s="5" t="s">
        <v>0</v>
      </c>
      <c r="B21" s="5" t="s">
        <v>1</v>
      </c>
      <c r="C21" s="5" t="s">
        <v>2</v>
      </c>
      <c r="D21" s="5" t="s">
        <v>4</v>
      </c>
      <c r="E21" s="5" t="s">
        <v>3</v>
      </c>
      <c r="F21" s="5" t="s">
        <v>5</v>
      </c>
      <c r="G21" s="3"/>
    </row>
    <row r="22" spans="1:16" thickTop="1" thickBot="1" x14ac:dyDescent="0.3">
      <c r="A22" s="5" t="s">
        <v>30</v>
      </c>
      <c r="B22" s="4">
        <v>0.69565217391304301</v>
      </c>
      <c r="C22" s="4">
        <v>0.92631578947368398</v>
      </c>
      <c r="D22" s="4">
        <v>0.79458239277652298</v>
      </c>
      <c r="E22" s="4">
        <v>0.77353779656958499</v>
      </c>
      <c r="F22" s="4">
        <v>0.55784998481627701</v>
      </c>
      <c r="G22" s="8">
        <f>E22-E8</f>
        <v>8.7453767397469573E-3</v>
      </c>
    </row>
    <row r="23" spans="1:16" thickTop="1" thickBot="1" x14ac:dyDescent="0.3">
      <c r="A23" s="4"/>
    </row>
    <row r="24" spans="1:16" thickTop="1" thickBot="1" x14ac:dyDescent="0.3">
      <c r="A24" s="18" t="s">
        <v>6</v>
      </c>
      <c r="B24" s="18"/>
      <c r="C24" s="18"/>
      <c r="D24" s="18"/>
      <c r="E24" s="18"/>
      <c r="F24" s="18"/>
      <c r="G24" s="7"/>
    </row>
    <row r="25" spans="1:16" thickTop="1" thickBot="1" x14ac:dyDescent="0.3">
      <c r="A25" s="5" t="s">
        <v>0</v>
      </c>
      <c r="B25" s="5" t="s">
        <v>1</v>
      </c>
      <c r="C25" s="5" t="s">
        <v>2</v>
      </c>
      <c r="D25" s="5" t="s">
        <v>4</v>
      </c>
      <c r="E25" s="5" t="s">
        <v>3</v>
      </c>
      <c r="F25" s="5" t="s">
        <v>5</v>
      </c>
      <c r="G25" s="3"/>
    </row>
    <row r="26" spans="1:16" thickTop="1" thickBot="1" x14ac:dyDescent="0.3">
      <c r="A26" s="5" t="s">
        <v>30</v>
      </c>
      <c r="B26" s="4">
        <v>0.89723320158102704</v>
      </c>
      <c r="C26" s="4">
        <v>0.85338345864661602</v>
      </c>
      <c r="D26" s="4">
        <v>0.87475915221579903</v>
      </c>
      <c r="E26" s="4">
        <v>0.82595100467932803</v>
      </c>
      <c r="F26" s="4">
        <v>0.65229020394516801</v>
      </c>
      <c r="G26" s="8">
        <f>E26-E12</f>
        <v>8.8273709810640089E-3</v>
      </c>
    </row>
    <row r="27" spans="1:16" thickTop="1" thickBot="1" x14ac:dyDescent="0.3">
      <c r="A27" s="17"/>
      <c r="B27" s="12"/>
      <c r="C27" s="12"/>
      <c r="D27" s="12"/>
      <c r="E27" s="12"/>
      <c r="F27" s="12"/>
      <c r="G27" s="17"/>
      <c r="I27" s="17"/>
      <c r="J27" s="17"/>
      <c r="K27" s="17"/>
      <c r="L27" s="12"/>
      <c r="M27" s="12"/>
      <c r="N27" s="12"/>
    </row>
    <row r="28" spans="1:16" ht="15.75" thickTop="1" x14ac:dyDescent="0.25">
      <c r="G28"/>
      <c r="H28"/>
    </row>
    <row r="29" spans="1:16" ht="15" x14ac:dyDescent="0.25">
      <c r="G29"/>
      <c r="H29"/>
    </row>
    <row r="30" spans="1:16" ht="15" x14ac:dyDescent="0.25">
      <c r="G30"/>
      <c r="H30"/>
    </row>
    <row r="31" spans="1:16" ht="15" x14ac:dyDescent="0.25">
      <c r="G31"/>
      <c r="H31"/>
    </row>
    <row r="32" spans="1:16" ht="15" x14ac:dyDescent="0.25">
      <c r="G32"/>
      <c r="H32"/>
    </row>
    <row r="33" spans="7:8" ht="15" x14ac:dyDescent="0.25">
      <c r="G33"/>
      <c r="H33"/>
    </row>
    <row r="34" spans="7:8" ht="15" x14ac:dyDescent="0.25">
      <c r="G34"/>
      <c r="H34"/>
    </row>
    <row r="35" spans="7:8" ht="15" x14ac:dyDescent="0.25">
      <c r="G35"/>
      <c r="H35"/>
    </row>
    <row r="36" spans="7:8" ht="15" x14ac:dyDescent="0.25">
      <c r="G36"/>
      <c r="H36"/>
    </row>
    <row r="37" spans="7:8" ht="15" x14ac:dyDescent="0.25">
      <c r="G37"/>
      <c r="H37"/>
    </row>
    <row r="38" spans="7:8" ht="15" x14ac:dyDescent="0.25">
      <c r="G38"/>
      <c r="H38"/>
    </row>
    <row r="39" spans="7:8" ht="15" x14ac:dyDescent="0.25">
      <c r="G39"/>
      <c r="H39"/>
    </row>
    <row r="40" spans="7:8" ht="15" x14ac:dyDescent="0.25">
      <c r="G40"/>
      <c r="H40"/>
    </row>
    <row r="41" spans="7:8" ht="15" x14ac:dyDescent="0.25">
      <c r="G41"/>
      <c r="H41"/>
    </row>
    <row r="42" spans="7:8" ht="15" x14ac:dyDescent="0.25">
      <c r="G42"/>
      <c r="H42"/>
    </row>
    <row r="43" spans="7:8" ht="15" x14ac:dyDescent="0.25">
      <c r="G43"/>
      <c r="H43"/>
    </row>
    <row r="44" spans="7:8" ht="15" x14ac:dyDescent="0.25">
      <c r="G44"/>
      <c r="H44"/>
    </row>
    <row r="45" spans="7:8" ht="15" x14ac:dyDescent="0.25">
      <c r="G45"/>
      <c r="H45"/>
    </row>
    <row r="46" spans="7:8" ht="15" x14ac:dyDescent="0.25">
      <c r="G46"/>
      <c r="H46"/>
    </row>
    <row r="47" spans="7:8" ht="15" x14ac:dyDescent="0.25">
      <c r="G47"/>
      <c r="H47"/>
    </row>
    <row r="48" spans="7:8" ht="15" x14ac:dyDescent="0.25">
      <c r="G48"/>
      <c r="H48"/>
    </row>
    <row r="49" spans="7:8" ht="15" x14ac:dyDescent="0.25">
      <c r="G49"/>
      <c r="H49"/>
    </row>
    <row r="50" spans="7:8" ht="15" x14ac:dyDescent="0.25">
      <c r="G50"/>
      <c r="H50"/>
    </row>
    <row r="51" spans="7:8" ht="15" x14ac:dyDescent="0.25">
      <c r="G51"/>
      <c r="H51"/>
    </row>
    <row r="52" spans="7:8" ht="15" x14ac:dyDescent="0.25">
      <c r="G52"/>
      <c r="H52"/>
    </row>
    <row r="53" spans="7:8" ht="15" x14ac:dyDescent="0.25">
      <c r="G53"/>
      <c r="H53"/>
    </row>
    <row r="54" spans="7:8" ht="15" x14ac:dyDescent="0.25">
      <c r="G54"/>
      <c r="H54"/>
    </row>
    <row r="55" spans="7:8" ht="15" x14ac:dyDescent="0.25">
      <c r="G55"/>
      <c r="H55"/>
    </row>
    <row r="56" spans="7:8" ht="15" x14ac:dyDescent="0.25">
      <c r="G56"/>
      <c r="H56"/>
    </row>
    <row r="57" spans="7:8" ht="15" x14ac:dyDescent="0.25">
      <c r="G57"/>
      <c r="H57"/>
    </row>
    <row r="58" spans="7:8" ht="15" x14ac:dyDescent="0.25">
      <c r="G58"/>
      <c r="H58"/>
    </row>
    <row r="59" spans="7:8" ht="15" x14ac:dyDescent="0.25">
      <c r="G59"/>
      <c r="H59"/>
    </row>
    <row r="60" spans="7:8" ht="15" x14ac:dyDescent="0.25">
      <c r="G60"/>
      <c r="H60"/>
    </row>
    <row r="61" spans="7:8" ht="15" x14ac:dyDescent="0.25">
      <c r="G61"/>
      <c r="H61"/>
    </row>
    <row r="62" spans="7:8" ht="15" x14ac:dyDescent="0.25">
      <c r="G62"/>
      <c r="H62"/>
    </row>
    <row r="63" spans="7:8" ht="15" x14ac:dyDescent="0.25">
      <c r="G63"/>
      <c r="H63"/>
    </row>
    <row r="64" spans="7:8" ht="15" x14ac:dyDescent="0.25">
      <c r="G64"/>
      <c r="H64"/>
    </row>
    <row r="65" spans="7:8" ht="15" x14ac:dyDescent="0.25">
      <c r="G65"/>
      <c r="H65"/>
    </row>
    <row r="66" spans="7:8" ht="15" x14ac:dyDescent="0.25">
      <c r="G66"/>
      <c r="H66"/>
    </row>
    <row r="67" spans="7:8" ht="15" x14ac:dyDescent="0.25">
      <c r="G67"/>
      <c r="H67"/>
    </row>
    <row r="68" spans="7:8" ht="15" x14ac:dyDescent="0.25">
      <c r="G68"/>
      <c r="H68"/>
    </row>
    <row r="69" spans="7:8" ht="15" x14ac:dyDescent="0.25">
      <c r="G69"/>
      <c r="H69"/>
    </row>
    <row r="70" spans="7:8" ht="15" x14ac:dyDescent="0.25">
      <c r="G70"/>
      <c r="H70"/>
    </row>
    <row r="71" spans="7:8" ht="15" x14ac:dyDescent="0.25">
      <c r="G71"/>
      <c r="H71"/>
    </row>
    <row r="72" spans="7:8" ht="15" x14ac:dyDescent="0.25">
      <c r="G72"/>
      <c r="H72"/>
    </row>
    <row r="73" spans="7:8" ht="15" x14ac:dyDescent="0.25">
      <c r="G73"/>
      <c r="H73"/>
    </row>
    <row r="74" spans="7:8" ht="15" x14ac:dyDescent="0.25">
      <c r="G74"/>
      <c r="H74"/>
    </row>
    <row r="75" spans="7:8" ht="15" x14ac:dyDescent="0.25">
      <c r="G75"/>
      <c r="H75"/>
    </row>
    <row r="76" spans="7:8" ht="15" x14ac:dyDescent="0.25">
      <c r="G76"/>
      <c r="H76"/>
    </row>
    <row r="77" spans="7:8" ht="15" x14ac:dyDescent="0.25">
      <c r="G77"/>
      <c r="H77"/>
    </row>
    <row r="78" spans="7:8" ht="15" x14ac:dyDescent="0.25">
      <c r="G78"/>
      <c r="H78"/>
    </row>
    <row r="79" spans="7:8" ht="15" x14ac:dyDescent="0.25">
      <c r="G79"/>
      <c r="H79"/>
    </row>
    <row r="80" spans="7:8" ht="15" x14ac:dyDescent="0.25">
      <c r="G80"/>
      <c r="H80"/>
    </row>
    <row r="81" spans="7:8" ht="15" x14ac:dyDescent="0.25">
      <c r="G81"/>
      <c r="H81"/>
    </row>
    <row r="82" spans="7:8" ht="15" x14ac:dyDescent="0.25">
      <c r="G82"/>
      <c r="H82"/>
    </row>
    <row r="83" spans="7:8" ht="15" x14ac:dyDescent="0.25">
      <c r="G83"/>
      <c r="H83"/>
    </row>
    <row r="84" spans="7:8" ht="15" x14ac:dyDescent="0.25">
      <c r="G84"/>
      <c r="H84"/>
    </row>
    <row r="85" spans="7:8" ht="15" x14ac:dyDescent="0.25">
      <c r="G85"/>
      <c r="H85"/>
    </row>
    <row r="86" spans="7:8" ht="15" x14ac:dyDescent="0.25">
      <c r="G86"/>
      <c r="H86"/>
    </row>
    <row r="87" spans="7:8" ht="15" x14ac:dyDescent="0.25">
      <c r="G87"/>
      <c r="H87"/>
    </row>
    <row r="88" spans="7:8" ht="15" x14ac:dyDescent="0.25">
      <c r="G88"/>
      <c r="H88"/>
    </row>
    <row r="89" spans="7:8" ht="15" x14ac:dyDescent="0.25">
      <c r="G89"/>
      <c r="H89"/>
    </row>
    <row r="90" spans="7:8" ht="15" x14ac:dyDescent="0.25">
      <c r="G90"/>
      <c r="H90"/>
    </row>
    <row r="91" spans="7:8" ht="15" x14ac:dyDescent="0.25">
      <c r="G91"/>
      <c r="H91"/>
    </row>
    <row r="92" spans="7:8" ht="15" x14ac:dyDescent="0.25">
      <c r="G92"/>
      <c r="H92"/>
    </row>
    <row r="93" spans="7:8" ht="15" x14ac:dyDescent="0.25">
      <c r="G93"/>
      <c r="H93"/>
    </row>
    <row r="94" spans="7:8" ht="15" x14ac:dyDescent="0.25">
      <c r="G94"/>
      <c r="H94"/>
    </row>
    <row r="95" spans="7:8" ht="15" x14ac:dyDescent="0.25">
      <c r="G95"/>
      <c r="H95"/>
    </row>
    <row r="96" spans="7:8" ht="15" x14ac:dyDescent="0.25">
      <c r="G96"/>
      <c r="H96"/>
    </row>
    <row r="97" spans="7:8" ht="15" x14ac:dyDescent="0.25">
      <c r="G97"/>
      <c r="H97"/>
    </row>
    <row r="98" spans="7:8" ht="15" x14ac:dyDescent="0.25">
      <c r="G98"/>
      <c r="H98"/>
    </row>
    <row r="99" spans="7:8" ht="15" x14ac:dyDescent="0.25">
      <c r="G99"/>
      <c r="H99"/>
    </row>
    <row r="100" spans="7:8" ht="15" x14ac:dyDescent="0.25">
      <c r="G100"/>
      <c r="H100"/>
    </row>
    <row r="101" spans="7:8" ht="15" x14ac:dyDescent="0.25">
      <c r="G101"/>
      <c r="H101"/>
    </row>
    <row r="102" spans="7:8" ht="15" x14ac:dyDescent="0.25">
      <c r="G102"/>
      <c r="H102"/>
    </row>
    <row r="103" spans="7:8" ht="15" x14ac:dyDescent="0.25">
      <c r="G103"/>
      <c r="H103"/>
    </row>
    <row r="104" spans="7:8" ht="15" x14ac:dyDescent="0.25">
      <c r="G104"/>
      <c r="H104"/>
    </row>
    <row r="105" spans="7:8" ht="15" x14ac:dyDescent="0.25">
      <c r="G105"/>
      <c r="H105"/>
    </row>
    <row r="106" spans="7:8" ht="15" x14ac:dyDescent="0.25">
      <c r="G106"/>
      <c r="H106"/>
    </row>
    <row r="107" spans="7:8" ht="15" x14ac:dyDescent="0.25">
      <c r="G107"/>
      <c r="H107"/>
    </row>
    <row r="108" spans="7:8" ht="15" x14ac:dyDescent="0.25">
      <c r="G108"/>
      <c r="H108"/>
    </row>
    <row r="109" spans="7:8" ht="15" x14ac:dyDescent="0.25">
      <c r="G109"/>
      <c r="H109"/>
    </row>
    <row r="110" spans="7:8" ht="15" x14ac:dyDescent="0.25">
      <c r="G110"/>
      <c r="H110"/>
    </row>
    <row r="111" spans="7:8" ht="15" x14ac:dyDescent="0.25">
      <c r="G111"/>
      <c r="H111"/>
    </row>
    <row r="112" spans="7:8" ht="15" x14ac:dyDescent="0.25">
      <c r="G112"/>
      <c r="H112"/>
    </row>
    <row r="113" spans="7:8" ht="15" x14ac:dyDescent="0.25">
      <c r="G113"/>
      <c r="H113"/>
    </row>
    <row r="114" spans="7:8" ht="15" x14ac:dyDescent="0.25">
      <c r="G114"/>
      <c r="H114"/>
    </row>
    <row r="115" spans="7:8" ht="15" x14ac:dyDescent="0.25">
      <c r="G115"/>
      <c r="H115"/>
    </row>
    <row r="116" spans="7:8" ht="15" x14ac:dyDescent="0.25">
      <c r="G116"/>
      <c r="H116"/>
    </row>
    <row r="117" spans="7:8" ht="15" x14ac:dyDescent="0.25">
      <c r="G117"/>
      <c r="H117"/>
    </row>
    <row r="118" spans="7:8" ht="15" x14ac:dyDescent="0.25">
      <c r="G118"/>
      <c r="H118"/>
    </row>
    <row r="119" spans="7:8" ht="15" x14ac:dyDescent="0.25">
      <c r="G119"/>
      <c r="H119"/>
    </row>
    <row r="120" spans="7:8" ht="15" x14ac:dyDescent="0.25">
      <c r="G120"/>
      <c r="H120"/>
    </row>
    <row r="121" spans="7:8" ht="15" x14ac:dyDescent="0.25">
      <c r="G121"/>
      <c r="H121"/>
    </row>
    <row r="122" spans="7:8" ht="15" x14ac:dyDescent="0.25">
      <c r="G122"/>
      <c r="H122"/>
    </row>
    <row r="123" spans="7:8" ht="15" x14ac:dyDescent="0.25">
      <c r="G123"/>
      <c r="H123"/>
    </row>
    <row r="124" spans="7:8" ht="15" x14ac:dyDescent="0.25">
      <c r="G124"/>
      <c r="H124"/>
    </row>
    <row r="125" spans="7:8" ht="15" x14ac:dyDescent="0.25">
      <c r="G125"/>
      <c r="H125"/>
    </row>
    <row r="126" spans="7:8" ht="15" x14ac:dyDescent="0.25">
      <c r="G126"/>
      <c r="H126"/>
    </row>
    <row r="127" spans="7:8" ht="15" x14ac:dyDescent="0.25">
      <c r="G127"/>
      <c r="H127"/>
    </row>
    <row r="128" spans="7:8" ht="15" x14ac:dyDescent="0.25">
      <c r="G128"/>
      <c r="H128"/>
    </row>
    <row r="129" spans="7:8" ht="15" x14ac:dyDescent="0.25">
      <c r="G129"/>
      <c r="H129"/>
    </row>
    <row r="130" spans="7:8" ht="15" x14ac:dyDescent="0.25">
      <c r="G130"/>
      <c r="H130"/>
    </row>
    <row r="131" spans="7:8" ht="15" x14ac:dyDescent="0.25">
      <c r="G131"/>
      <c r="H131"/>
    </row>
    <row r="132" spans="7:8" ht="15" x14ac:dyDescent="0.25">
      <c r="G132"/>
      <c r="H132"/>
    </row>
    <row r="133" spans="7:8" ht="15" x14ac:dyDescent="0.25">
      <c r="G133"/>
      <c r="H133"/>
    </row>
    <row r="134" spans="7:8" ht="15" x14ac:dyDescent="0.25">
      <c r="G134"/>
      <c r="H134"/>
    </row>
    <row r="135" spans="7:8" ht="15" x14ac:dyDescent="0.25">
      <c r="G135"/>
      <c r="H135"/>
    </row>
    <row r="136" spans="7:8" ht="15" x14ac:dyDescent="0.25">
      <c r="G136"/>
      <c r="H136"/>
    </row>
    <row r="137" spans="7:8" ht="15" x14ac:dyDescent="0.25">
      <c r="G137"/>
      <c r="H137"/>
    </row>
    <row r="138" spans="7:8" ht="15" x14ac:dyDescent="0.25">
      <c r="G138"/>
      <c r="H138"/>
    </row>
    <row r="139" spans="7:8" ht="15" x14ac:dyDescent="0.25">
      <c r="G139"/>
      <c r="H139"/>
    </row>
    <row r="140" spans="7:8" ht="15" x14ac:dyDescent="0.25">
      <c r="G140"/>
      <c r="H140"/>
    </row>
    <row r="141" spans="7:8" ht="15" x14ac:dyDescent="0.25">
      <c r="G141"/>
      <c r="H141"/>
    </row>
    <row r="142" spans="7:8" ht="15" x14ac:dyDescent="0.25">
      <c r="G142"/>
      <c r="H142"/>
    </row>
    <row r="143" spans="7:8" ht="15" x14ac:dyDescent="0.25">
      <c r="G143"/>
      <c r="H143"/>
    </row>
    <row r="144" spans="7:8" ht="15" x14ac:dyDescent="0.25">
      <c r="G144"/>
      <c r="H144"/>
    </row>
    <row r="145" spans="7:8" ht="15" x14ac:dyDescent="0.25">
      <c r="G145"/>
      <c r="H145"/>
    </row>
    <row r="146" spans="7:8" ht="15" x14ac:dyDescent="0.25">
      <c r="G146"/>
      <c r="H146"/>
    </row>
    <row r="147" spans="7:8" ht="15" x14ac:dyDescent="0.25">
      <c r="G147"/>
      <c r="H147"/>
    </row>
    <row r="148" spans="7:8" ht="15" x14ac:dyDescent="0.25">
      <c r="G148"/>
      <c r="H148"/>
    </row>
    <row r="149" spans="7:8" ht="15" x14ac:dyDescent="0.25">
      <c r="G149"/>
      <c r="H149"/>
    </row>
    <row r="150" spans="7:8" ht="15" x14ac:dyDescent="0.25">
      <c r="G150"/>
      <c r="H150"/>
    </row>
    <row r="151" spans="7:8" ht="15" x14ac:dyDescent="0.25">
      <c r="G151"/>
      <c r="H151"/>
    </row>
    <row r="152" spans="7:8" ht="15" x14ac:dyDescent="0.25">
      <c r="G152"/>
      <c r="H152"/>
    </row>
    <row r="153" spans="7:8" ht="15" x14ac:dyDescent="0.25">
      <c r="G153"/>
      <c r="H153"/>
    </row>
    <row r="154" spans="7:8" ht="15" x14ac:dyDescent="0.25">
      <c r="G154"/>
      <c r="H154"/>
    </row>
    <row r="155" spans="7:8" ht="15" x14ac:dyDescent="0.25">
      <c r="G155"/>
      <c r="H155"/>
    </row>
    <row r="156" spans="7:8" ht="15" x14ac:dyDescent="0.25">
      <c r="G156"/>
      <c r="H156"/>
    </row>
    <row r="157" spans="7:8" ht="15" x14ac:dyDescent="0.25">
      <c r="G157"/>
      <c r="H157"/>
    </row>
    <row r="158" spans="7:8" ht="15" x14ac:dyDescent="0.25">
      <c r="G158"/>
      <c r="H158"/>
    </row>
    <row r="159" spans="7:8" ht="15" x14ac:dyDescent="0.25">
      <c r="G159"/>
      <c r="H159"/>
    </row>
    <row r="160" spans="7:8" ht="15" x14ac:dyDescent="0.25">
      <c r="G160"/>
      <c r="H160"/>
    </row>
    <row r="161" spans="7:8" ht="15" x14ac:dyDescent="0.25">
      <c r="G161"/>
      <c r="H161"/>
    </row>
    <row r="162" spans="7:8" ht="15" x14ac:dyDescent="0.25">
      <c r="G162"/>
      <c r="H162"/>
    </row>
    <row r="163" spans="7:8" ht="15" x14ac:dyDescent="0.25">
      <c r="G163"/>
      <c r="H163"/>
    </row>
    <row r="164" spans="7:8" ht="15" x14ac:dyDescent="0.25">
      <c r="G164"/>
      <c r="H164"/>
    </row>
    <row r="165" spans="7:8" ht="15" x14ac:dyDescent="0.25">
      <c r="G165"/>
      <c r="H165"/>
    </row>
    <row r="166" spans="7:8" ht="15" x14ac:dyDescent="0.25">
      <c r="G166"/>
      <c r="H166"/>
    </row>
    <row r="167" spans="7:8" ht="15" x14ac:dyDescent="0.25">
      <c r="G167"/>
      <c r="H167"/>
    </row>
    <row r="168" spans="7:8" ht="15" x14ac:dyDescent="0.25">
      <c r="G168"/>
      <c r="H168"/>
    </row>
    <row r="169" spans="7:8" ht="15" x14ac:dyDescent="0.25">
      <c r="G169"/>
      <c r="H169"/>
    </row>
    <row r="170" spans="7:8" ht="15" x14ac:dyDescent="0.25">
      <c r="G170"/>
      <c r="H170"/>
    </row>
    <row r="171" spans="7:8" ht="15" x14ac:dyDescent="0.25">
      <c r="G171"/>
      <c r="H171"/>
    </row>
    <row r="172" spans="7:8" ht="15" x14ac:dyDescent="0.25">
      <c r="G172"/>
      <c r="H172"/>
    </row>
    <row r="173" spans="7:8" ht="15" x14ac:dyDescent="0.25">
      <c r="G173"/>
      <c r="H173"/>
    </row>
    <row r="174" spans="7:8" ht="15" x14ac:dyDescent="0.25">
      <c r="G174"/>
      <c r="H174"/>
    </row>
    <row r="175" spans="7:8" ht="15" x14ac:dyDescent="0.25">
      <c r="G175"/>
      <c r="H175"/>
    </row>
    <row r="176" spans="7:8" ht="15" x14ac:dyDescent="0.25">
      <c r="G176"/>
      <c r="H176"/>
    </row>
    <row r="177" spans="7:8" ht="15" x14ac:dyDescent="0.25">
      <c r="G177"/>
      <c r="H177"/>
    </row>
    <row r="178" spans="7:8" ht="15" x14ac:dyDescent="0.25">
      <c r="G178"/>
      <c r="H178"/>
    </row>
    <row r="179" spans="7:8" ht="15" x14ac:dyDescent="0.25">
      <c r="G179"/>
      <c r="H179"/>
    </row>
    <row r="180" spans="7:8" ht="15" x14ac:dyDescent="0.25">
      <c r="G180"/>
      <c r="H180"/>
    </row>
    <row r="181" spans="7:8" ht="15" x14ac:dyDescent="0.25">
      <c r="G181"/>
      <c r="H181"/>
    </row>
    <row r="182" spans="7:8" ht="15" x14ac:dyDescent="0.25">
      <c r="G182"/>
      <c r="H182"/>
    </row>
    <row r="183" spans="7:8" ht="15" x14ac:dyDescent="0.25">
      <c r="G183"/>
      <c r="H183"/>
    </row>
    <row r="184" spans="7:8" ht="15" x14ac:dyDescent="0.25">
      <c r="G184"/>
      <c r="H184"/>
    </row>
    <row r="185" spans="7:8" ht="15" x14ac:dyDescent="0.25">
      <c r="G185"/>
      <c r="H185"/>
    </row>
    <row r="186" spans="7:8" ht="15" x14ac:dyDescent="0.25">
      <c r="G186"/>
      <c r="H186"/>
    </row>
    <row r="187" spans="7:8" ht="15" x14ac:dyDescent="0.25">
      <c r="G187"/>
      <c r="H187"/>
    </row>
    <row r="188" spans="7:8" ht="15" x14ac:dyDescent="0.25">
      <c r="G188"/>
      <c r="H188"/>
    </row>
    <row r="189" spans="7:8" ht="15" x14ac:dyDescent="0.25">
      <c r="G189"/>
      <c r="H189"/>
    </row>
    <row r="190" spans="7:8" ht="15" x14ac:dyDescent="0.25">
      <c r="G190"/>
      <c r="H190"/>
    </row>
    <row r="191" spans="7:8" ht="15" x14ac:dyDescent="0.25">
      <c r="G191"/>
      <c r="H191"/>
    </row>
    <row r="192" spans="7:8" ht="15" x14ac:dyDescent="0.25">
      <c r="G192"/>
      <c r="H192"/>
    </row>
    <row r="193" spans="7:8" ht="15" x14ac:dyDescent="0.25">
      <c r="G193"/>
      <c r="H193"/>
    </row>
    <row r="194" spans="7:8" ht="15" x14ac:dyDescent="0.25">
      <c r="G194"/>
      <c r="H194"/>
    </row>
    <row r="195" spans="7:8" ht="15" x14ac:dyDescent="0.25">
      <c r="G195"/>
      <c r="H195"/>
    </row>
    <row r="196" spans="7:8" ht="15" x14ac:dyDescent="0.25">
      <c r="G196"/>
      <c r="H196"/>
    </row>
    <row r="197" spans="7:8" ht="15" x14ac:dyDescent="0.25">
      <c r="G197"/>
      <c r="H197"/>
    </row>
    <row r="198" spans="7:8" ht="15" x14ac:dyDescent="0.25">
      <c r="G198"/>
      <c r="H198"/>
    </row>
    <row r="199" spans="7:8" ht="15" x14ac:dyDescent="0.25">
      <c r="G199"/>
      <c r="H199"/>
    </row>
    <row r="200" spans="7:8" ht="15" x14ac:dyDescent="0.25">
      <c r="G200"/>
      <c r="H200"/>
    </row>
    <row r="201" spans="7:8" ht="15" x14ac:dyDescent="0.25">
      <c r="G201"/>
      <c r="H201"/>
    </row>
    <row r="202" spans="7:8" ht="15" x14ac:dyDescent="0.25">
      <c r="G202"/>
      <c r="H202"/>
    </row>
    <row r="203" spans="7:8" ht="15" x14ac:dyDescent="0.25">
      <c r="G203"/>
      <c r="H203"/>
    </row>
    <row r="204" spans="7:8" ht="15" x14ac:dyDescent="0.25">
      <c r="G204"/>
      <c r="H204"/>
    </row>
    <row r="205" spans="7:8" ht="15" x14ac:dyDescent="0.25">
      <c r="G205"/>
      <c r="H205"/>
    </row>
    <row r="206" spans="7:8" ht="15" x14ac:dyDescent="0.25">
      <c r="G206"/>
      <c r="H206"/>
    </row>
    <row r="207" spans="7:8" ht="15" x14ac:dyDescent="0.25">
      <c r="G207"/>
      <c r="H207"/>
    </row>
    <row r="208" spans="7:8" ht="15" x14ac:dyDescent="0.25">
      <c r="G208"/>
      <c r="H208"/>
    </row>
    <row r="209" spans="7:8" ht="15" x14ac:dyDescent="0.25">
      <c r="G209"/>
      <c r="H209"/>
    </row>
    <row r="210" spans="7:8" ht="15" x14ac:dyDescent="0.25">
      <c r="G210"/>
      <c r="H210"/>
    </row>
    <row r="211" spans="7:8" ht="15" x14ac:dyDescent="0.25">
      <c r="G211"/>
      <c r="H211"/>
    </row>
    <row r="212" spans="7:8" ht="15" x14ac:dyDescent="0.25">
      <c r="G212"/>
      <c r="H212"/>
    </row>
    <row r="213" spans="7:8" ht="15" x14ac:dyDescent="0.25">
      <c r="G213"/>
      <c r="H213"/>
    </row>
    <row r="214" spans="7:8" ht="15" x14ac:dyDescent="0.25">
      <c r="G214"/>
      <c r="H214"/>
    </row>
    <row r="215" spans="7:8" ht="15" x14ac:dyDescent="0.25">
      <c r="G215"/>
      <c r="H215"/>
    </row>
    <row r="216" spans="7:8" ht="15" x14ac:dyDescent="0.25">
      <c r="G216"/>
      <c r="H216"/>
    </row>
    <row r="217" spans="7:8" ht="15" x14ac:dyDescent="0.25">
      <c r="G217"/>
      <c r="H217"/>
    </row>
    <row r="218" spans="7:8" ht="15" x14ac:dyDescent="0.25">
      <c r="G218"/>
      <c r="H218"/>
    </row>
    <row r="219" spans="7:8" ht="15" x14ac:dyDescent="0.25">
      <c r="G219"/>
      <c r="H219"/>
    </row>
    <row r="220" spans="7:8" ht="15" x14ac:dyDescent="0.25">
      <c r="G220"/>
      <c r="H220"/>
    </row>
    <row r="221" spans="7:8" ht="15" x14ac:dyDescent="0.25">
      <c r="G221"/>
      <c r="H221"/>
    </row>
    <row r="222" spans="7:8" ht="15" x14ac:dyDescent="0.25">
      <c r="G222"/>
      <c r="H222"/>
    </row>
    <row r="223" spans="7:8" ht="15" x14ac:dyDescent="0.25">
      <c r="G223"/>
      <c r="H223"/>
    </row>
    <row r="224" spans="7:8" ht="15" x14ac:dyDescent="0.25">
      <c r="G224"/>
      <c r="H224"/>
    </row>
    <row r="225" spans="7:8" ht="15" x14ac:dyDescent="0.25">
      <c r="G225"/>
      <c r="H225"/>
    </row>
    <row r="226" spans="7:8" ht="15" x14ac:dyDescent="0.25">
      <c r="G226"/>
      <c r="H226"/>
    </row>
    <row r="227" spans="7:8" ht="15" x14ac:dyDescent="0.25">
      <c r="G227"/>
      <c r="H227"/>
    </row>
    <row r="228" spans="7:8" ht="15" x14ac:dyDescent="0.25">
      <c r="G228"/>
      <c r="H228"/>
    </row>
    <row r="229" spans="7:8" ht="15" x14ac:dyDescent="0.25">
      <c r="G229"/>
      <c r="H229"/>
    </row>
    <row r="230" spans="7:8" ht="15" x14ac:dyDescent="0.25">
      <c r="G230"/>
      <c r="H230"/>
    </row>
    <row r="231" spans="7:8" ht="15" x14ac:dyDescent="0.25">
      <c r="G231"/>
      <c r="H231"/>
    </row>
    <row r="232" spans="7:8" ht="15" x14ac:dyDescent="0.25">
      <c r="G232"/>
      <c r="H232"/>
    </row>
    <row r="233" spans="7:8" ht="15" x14ac:dyDescent="0.25">
      <c r="G233"/>
      <c r="H233"/>
    </row>
    <row r="234" spans="7:8" ht="15" x14ac:dyDescent="0.25">
      <c r="G234"/>
      <c r="H234"/>
    </row>
    <row r="235" spans="7:8" ht="15" x14ac:dyDescent="0.25">
      <c r="G235"/>
      <c r="H235"/>
    </row>
    <row r="236" spans="7:8" ht="15" x14ac:dyDescent="0.25">
      <c r="G236"/>
      <c r="H236"/>
    </row>
    <row r="237" spans="7:8" ht="15" x14ac:dyDescent="0.25">
      <c r="G237"/>
      <c r="H237"/>
    </row>
    <row r="238" spans="7:8" ht="15" x14ac:dyDescent="0.25">
      <c r="G238"/>
      <c r="H238"/>
    </row>
    <row r="239" spans="7:8" ht="15" x14ac:dyDescent="0.25">
      <c r="G239"/>
      <c r="H239"/>
    </row>
    <row r="240" spans="7:8" ht="15" x14ac:dyDescent="0.25">
      <c r="G240"/>
      <c r="H240"/>
    </row>
    <row r="241" spans="7:8" ht="15" x14ac:dyDescent="0.25">
      <c r="G241"/>
      <c r="H241"/>
    </row>
    <row r="242" spans="7:8" ht="15" x14ac:dyDescent="0.25">
      <c r="G242"/>
      <c r="H242"/>
    </row>
    <row r="243" spans="7:8" ht="15" x14ac:dyDescent="0.25">
      <c r="G243"/>
      <c r="H243"/>
    </row>
    <row r="244" spans="7:8" ht="15" x14ac:dyDescent="0.25">
      <c r="G244"/>
      <c r="H244"/>
    </row>
    <row r="245" spans="7:8" ht="15" x14ac:dyDescent="0.25">
      <c r="G245"/>
      <c r="H245"/>
    </row>
    <row r="246" spans="7:8" ht="15" x14ac:dyDescent="0.25">
      <c r="G246"/>
      <c r="H246"/>
    </row>
    <row r="247" spans="7:8" ht="15" x14ac:dyDescent="0.25">
      <c r="G247"/>
      <c r="H247"/>
    </row>
    <row r="248" spans="7:8" ht="15" x14ac:dyDescent="0.25">
      <c r="G248"/>
      <c r="H248"/>
    </row>
    <row r="249" spans="7:8" ht="15" x14ac:dyDescent="0.25">
      <c r="G249"/>
      <c r="H249"/>
    </row>
    <row r="250" spans="7:8" ht="15" x14ac:dyDescent="0.25">
      <c r="G250"/>
      <c r="H250"/>
    </row>
    <row r="251" spans="7:8" ht="15" x14ac:dyDescent="0.25">
      <c r="G251"/>
      <c r="H251"/>
    </row>
    <row r="252" spans="7:8" ht="15" x14ac:dyDescent="0.25">
      <c r="G252"/>
      <c r="H252"/>
    </row>
    <row r="253" spans="7:8" ht="15" x14ac:dyDescent="0.25">
      <c r="G253"/>
      <c r="H253"/>
    </row>
    <row r="254" spans="7:8" ht="15" x14ac:dyDescent="0.25">
      <c r="G254"/>
      <c r="H254"/>
    </row>
    <row r="255" spans="7:8" ht="15" x14ac:dyDescent="0.25">
      <c r="G255"/>
      <c r="H255"/>
    </row>
    <row r="256" spans="7:8" ht="15" x14ac:dyDescent="0.25">
      <c r="G256"/>
      <c r="H256"/>
    </row>
    <row r="257" spans="7:8" ht="15" x14ac:dyDescent="0.25">
      <c r="G257"/>
      <c r="H257"/>
    </row>
    <row r="258" spans="7:8" ht="15" x14ac:dyDescent="0.25">
      <c r="G258"/>
      <c r="H258"/>
    </row>
    <row r="259" spans="7:8" ht="15" x14ac:dyDescent="0.25">
      <c r="G259"/>
      <c r="H259"/>
    </row>
    <row r="260" spans="7:8" ht="15" x14ac:dyDescent="0.25">
      <c r="G260"/>
      <c r="H260"/>
    </row>
    <row r="261" spans="7:8" ht="15" x14ac:dyDescent="0.25">
      <c r="G261"/>
      <c r="H261"/>
    </row>
    <row r="262" spans="7:8" ht="15" x14ac:dyDescent="0.25">
      <c r="G262"/>
      <c r="H262"/>
    </row>
    <row r="263" spans="7:8" ht="15" x14ac:dyDescent="0.25">
      <c r="G263"/>
      <c r="H263"/>
    </row>
    <row r="264" spans="7:8" ht="15" x14ac:dyDescent="0.25">
      <c r="G264"/>
      <c r="H264"/>
    </row>
    <row r="265" spans="7:8" ht="15" x14ac:dyDescent="0.25">
      <c r="G265"/>
      <c r="H265"/>
    </row>
    <row r="266" spans="7:8" ht="15" x14ac:dyDescent="0.25">
      <c r="G266"/>
      <c r="H266"/>
    </row>
    <row r="267" spans="7:8" ht="15" x14ac:dyDescent="0.25">
      <c r="G267"/>
      <c r="H267"/>
    </row>
    <row r="268" spans="7:8" ht="15" x14ac:dyDescent="0.25">
      <c r="G268"/>
      <c r="H268"/>
    </row>
    <row r="269" spans="7:8" ht="15" x14ac:dyDescent="0.25">
      <c r="G269"/>
      <c r="H269"/>
    </row>
    <row r="270" spans="7:8" ht="15" x14ac:dyDescent="0.25">
      <c r="G270"/>
      <c r="H270"/>
    </row>
    <row r="271" spans="7:8" ht="15" x14ac:dyDescent="0.25">
      <c r="G271"/>
      <c r="H271"/>
    </row>
    <row r="272" spans="7:8" ht="15" x14ac:dyDescent="0.25">
      <c r="G272"/>
      <c r="H272"/>
    </row>
    <row r="273" spans="7:8" ht="15" x14ac:dyDescent="0.25">
      <c r="G273"/>
      <c r="H273"/>
    </row>
    <row r="274" spans="7:8" ht="15" x14ac:dyDescent="0.25">
      <c r="G274"/>
      <c r="H274"/>
    </row>
    <row r="275" spans="7:8" ht="15" x14ac:dyDescent="0.25">
      <c r="G275"/>
      <c r="H275"/>
    </row>
    <row r="276" spans="7:8" ht="15" x14ac:dyDescent="0.25">
      <c r="G276"/>
      <c r="H276"/>
    </row>
    <row r="277" spans="7:8" ht="15" x14ac:dyDescent="0.25">
      <c r="G277"/>
      <c r="H277"/>
    </row>
    <row r="278" spans="7:8" ht="15" x14ac:dyDescent="0.25">
      <c r="G278"/>
      <c r="H278"/>
    </row>
    <row r="279" spans="7:8" ht="15" x14ac:dyDescent="0.25">
      <c r="G279"/>
      <c r="H279"/>
    </row>
    <row r="280" spans="7:8" ht="15" x14ac:dyDescent="0.25">
      <c r="G280"/>
      <c r="H280"/>
    </row>
    <row r="281" spans="7:8" ht="15" x14ac:dyDescent="0.25">
      <c r="G281"/>
      <c r="H281"/>
    </row>
    <row r="282" spans="7:8" ht="15" x14ac:dyDescent="0.25">
      <c r="G282"/>
      <c r="H282"/>
    </row>
    <row r="283" spans="7:8" ht="15" x14ac:dyDescent="0.25">
      <c r="G283"/>
      <c r="H283"/>
    </row>
    <row r="284" spans="7:8" ht="15.75" thickBot="1" x14ac:dyDescent="0.3">
      <c r="G284"/>
      <c r="H284"/>
    </row>
  </sheetData>
  <mergeCells count="12">
    <mergeCell ref="A15:F15"/>
    <mergeCell ref="A16:F16"/>
    <mergeCell ref="A20:F20"/>
    <mergeCell ref="A24:F24"/>
    <mergeCell ref="A2:F2"/>
    <mergeCell ref="A6:F6"/>
    <mergeCell ref="A10:F10"/>
    <mergeCell ref="A1:F1"/>
    <mergeCell ref="I2:N2"/>
    <mergeCell ref="I6:N6"/>
    <mergeCell ref="I10:N10"/>
    <mergeCell ref="I1:N1"/>
  </mergeCells>
  <conditionalFormatting sqref="B1:F1048576">
    <cfRule type="colorScale" priority="8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J2:N3 J5:N7 J9:N11">
    <cfRule type="colorScale" priority="7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J4:N4">
    <cfRule type="colorScale" priority="3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J8:N8">
    <cfRule type="colorScale" priority="2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J12:N12">
    <cfRule type="colorScale" priority="1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BC17-39A9-4D61-99CF-DD2438BA63A7}">
  <dimension ref="A1:O69"/>
  <sheetViews>
    <sheetView topLeftCell="A20" zoomScaleNormal="100" workbookViewId="0">
      <selection activeCell="J74" sqref="J74"/>
    </sheetView>
  </sheetViews>
  <sheetFormatPr defaultRowHeight="16.5" thickTop="1" thickBottom="1" x14ac:dyDescent="0.3"/>
  <cols>
    <col min="1" max="1" width="23.85546875" style="2" customWidth="1"/>
    <col min="2" max="2" width="19.140625" style="4" customWidth="1"/>
    <col min="3" max="3" width="20.7109375" style="4" customWidth="1"/>
    <col min="4" max="4" width="15.7109375" style="4" customWidth="1"/>
    <col min="5" max="5" width="16.28515625" style="4" customWidth="1"/>
    <col min="6" max="6" width="19.42578125" style="4" customWidth="1"/>
    <col min="7" max="7" width="13.5703125" style="4" customWidth="1"/>
    <col min="8" max="8" width="9.140625" style="12"/>
    <col min="9" max="9" width="18.7109375" style="4" customWidth="1"/>
    <col min="10" max="10" width="23.85546875" style="4" customWidth="1"/>
    <col min="11" max="11" width="20.140625" style="4" customWidth="1"/>
    <col min="12" max="12" width="19" style="4" customWidth="1"/>
    <col min="13" max="13" width="17.28515625" style="4" customWidth="1"/>
    <col min="14" max="14" width="19.28515625" style="4" customWidth="1"/>
    <col min="15" max="15" width="15.42578125" style="4" customWidth="1"/>
  </cols>
  <sheetData>
    <row r="1" spans="1:15" ht="37.5" customHeight="1" thickTop="1" thickBot="1" x14ac:dyDescent="0.3">
      <c r="A1" s="14" t="s">
        <v>31</v>
      </c>
      <c r="B1" s="14"/>
      <c r="C1" s="14"/>
      <c r="D1" s="14"/>
      <c r="E1" s="14"/>
      <c r="F1" s="14"/>
      <c r="I1" s="15" t="s">
        <v>32</v>
      </c>
      <c r="J1" s="15"/>
      <c r="K1" s="15"/>
      <c r="L1" s="15"/>
      <c r="M1" s="15"/>
      <c r="N1" s="15"/>
    </row>
    <row r="2" spans="1:15" thickTop="1" thickBot="1" x14ac:dyDescent="0.3">
      <c r="A2" s="13" t="s">
        <v>8</v>
      </c>
      <c r="B2" s="13"/>
      <c r="C2" s="13"/>
      <c r="D2" s="13"/>
      <c r="E2" s="13"/>
      <c r="F2" s="13"/>
      <c r="G2" s="10"/>
      <c r="I2" s="13" t="s">
        <v>8</v>
      </c>
      <c r="J2" s="13"/>
      <c r="K2" s="13"/>
      <c r="L2" s="13"/>
      <c r="M2" s="13"/>
      <c r="N2" s="13"/>
      <c r="O2" s="3"/>
    </row>
    <row r="3" spans="1:15" thickTop="1" thickBot="1" x14ac:dyDescent="0.3">
      <c r="A3" s="1" t="s">
        <v>9</v>
      </c>
      <c r="B3" s="3" t="s">
        <v>1</v>
      </c>
      <c r="C3" s="3" t="s">
        <v>2</v>
      </c>
      <c r="D3" s="3" t="s">
        <v>4</v>
      </c>
      <c r="E3" s="3" t="s">
        <v>3</v>
      </c>
      <c r="F3" s="3" t="s">
        <v>5</v>
      </c>
      <c r="G3" s="11" t="s">
        <v>33</v>
      </c>
      <c r="I3" s="1" t="s">
        <v>9</v>
      </c>
      <c r="J3" s="3" t="s">
        <v>1</v>
      </c>
      <c r="K3" s="3" t="s">
        <v>2</v>
      </c>
      <c r="L3" s="3" t="s">
        <v>4</v>
      </c>
      <c r="M3" s="3" t="s">
        <v>3</v>
      </c>
      <c r="N3" s="3" t="s">
        <v>5</v>
      </c>
      <c r="O3" s="3"/>
    </row>
    <row r="4" spans="1:15" thickTop="1" thickBot="1" x14ac:dyDescent="0.3">
      <c r="A4" s="1" t="s">
        <v>10</v>
      </c>
      <c r="B4" s="4">
        <v>0.96363636363636296</v>
      </c>
      <c r="C4" s="4">
        <v>1</v>
      </c>
      <c r="D4" s="4">
        <v>0.98148148148148096</v>
      </c>
      <c r="E4" s="4">
        <v>0.94074074074073999</v>
      </c>
      <c r="F4" s="4">
        <v>0.88170055452865004</v>
      </c>
      <c r="G4" s="10">
        <f>E4-M4</f>
        <v>0</v>
      </c>
      <c r="I4" s="1" t="s">
        <v>10</v>
      </c>
      <c r="J4" s="4">
        <v>0.96363636363636296</v>
      </c>
      <c r="K4" s="4">
        <v>1</v>
      </c>
      <c r="L4" s="4">
        <v>0.98148148148148096</v>
      </c>
      <c r="M4" s="4">
        <v>0.94074074074073999</v>
      </c>
      <c r="N4" s="4">
        <v>0.88170055452865004</v>
      </c>
    </row>
    <row r="5" spans="1:15" thickTop="1" thickBot="1" x14ac:dyDescent="0.3">
      <c r="A5" s="1" t="s">
        <v>11</v>
      </c>
      <c r="B5" s="4">
        <v>0.33333333333333298</v>
      </c>
      <c r="C5" s="4">
        <v>0.66666666666666596</v>
      </c>
      <c r="D5" s="4">
        <v>0.44444444444444398</v>
      </c>
      <c r="E5" s="4">
        <v>0.647964796479648</v>
      </c>
      <c r="F5" s="4">
        <v>0.316239316239316</v>
      </c>
      <c r="G5" s="10">
        <f t="shared" ref="G5:G23" si="0">E5-M5</f>
        <v>3.9801531173526028E-2</v>
      </c>
      <c r="I5" s="1" t="s">
        <v>11</v>
      </c>
      <c r="J5" s="4">
        <v>0.28571428571428498</v>
      </c>
      <c r="K5" s="4">
        <v>0.66666666666666596</v>
      </c>
      <c r="L5" s="4">
        <v>0.4</v>
      </c>
      <c r="M5" s="4">
        <v>0.60816326530612197</v>
      </c>
      <c r="N5" s="4">
        <v>0.25291828793774301</v>
      </c>
    </row>
    <row r="6" spans="1:15" thickTop="1" thickBot="1" x14ac:dyDescent="0.3">
      <c r="A6" s="1" t="s">
        <v>12</v>
      </c>
      <c r="B6" s="4">
        <v>0.82352941176470495</v>
      </c>
      <c r="C6" s="4">
        <v>0.77777777777777701</v>
      </c>
      <c r="D6" s="4">
        <v>0.8</v>
      </c>
      <c r="E6" s="4">
        <v>0.86236559139784896</v>
      </c>
      <c r="F6" s="4">
        <v>0.72481572481572398</v>
      </c>
      <c r="G6" s="10">
        <f t="shared" si="0"/>
        <v>4.6097648814116932E-2</v>
      </c>
      <c r="I6" s="1" t="s">
        <v>12</v>
      </c>
      <c r="J6" s="4">
        <v>0.8</v>
      </c>
      <c r="K6" s="4">
        <v>0.66666666666666596</v>
      </c>
      <c r="L6" s="4">
        <v>0.72727272727272696</v>
      </c>
      <c r="M6" s="4">
        <v>0.81626794258373203</v>
      </c>
      <c r="N6" s="4">
        <v>0.63358778625954204</v>
      </c>
    </row>
    <row r="7" spans="1:15" thickTop="1" thickBot="1" x14ac:dyDescent="0.3">
      <c r="A7" s="1" t="s">
        <v>13</v>
      </c>
      <c r="B7" s="4">
        <v>0.83673469387755095</v>
      </c>
      <c r="C7" s="4">
        <v>1</v>
      </c>
      <c r="D7" s="4">
        <v>0.91111111111111098</v>
      </c>
      <c r="E7" s="4">
        <v>0.85029239766081799</v>
      </c>
      <c r="F7" s="4">
        <v>0.70608495981630304</v>
      </c>
      <c r="G7" s="10">
        <f t="shared" si="0"/>
        <v>0</v>
      </c>
      <c r="I7" s="1" t="s">
        <v>13</v>
      </c>
      <c r="J7" s="4">
        <v>0.83673469387755095</v>
      </c>
      <c r="K7" s="4">
        <v>1</v>
      </c>
      <c r="L7" s="4">
        <v>0.91111111111111098</v>
      </c>
      <c r="M7" s="4">
        <v>0.85029239766081799</v>
      </c>
      <c r="N7" s="4">
        <v>0.70608495981630304</v>
      </c>
    </row>
    <row r="8" spans="1:15" thickTop="1" thickBot="1" x14ac:dyDescent="0.3">
      <c r="A8" s="1" t="s">
        <v>14</v>
      </c>
      <c r="B8" s="4">
        <v>0.80769230769230704</v>
      </c>
      <c r="C8" s="4">
        <v>0.75</v>
      </c>
      <c r="D8" s="4">
        <v>0.77777777777777701</v>
      </c>
      <c r="E8" s="4">
        <v>0.80780780780780703</v>
      </c>
      <c r="F8" s="4">
        <v>0.61599999999999999</v>
      </c>
      <c r="G8" s="10">
        <f t="shared" si="0"/>
        <v>-9.8074545133368995E-2</v>
      </c>
      <c r="I8" s="1" t="s">
        <v>14</v>
      </c>
      <c r="J8" s="4">
        <v>0.84375</v>
      </c>
      <c r="K8" s="4">
        <v>0.96428571428571397</v>
      </c>
      <c r="L8" s="4">
        <v>0.9</v>
      </c>
      <c r="M8" s="4">
        <v>0.90588235294117603</v>
      </c>
      <c r="N8" s="4">
        <v>0.8125</v>
      </c>
    </row>
    <row r="9" spans="1:15" thickTop="1" thickBot="1" x14ac:dyDescent="0.3">
      <c r="A9" s="1" t="s">
        <v>15</v>
      </c>
      <c r="B9" s="4">
        <v>0.95454545454545403</v>
      </c>
      <c r="C9" s="4">
        <v>0.82352941176470495</v>
      </c>
      <c r="D9" s="4">
        <v>0.884210526315789</v>
      </c>
      <c r="E9" s="4">
        <v>0.77543859649122804</v>
      </c>
      <c r="F9" s="4">
        <v>0.55778894472361795</v>
      </c>
      <c r="G9" s="10">
        <f t="shared" si="0"/>
        <v>-2.3934444261123011E-2</v>
      </c>
      <c r="I9" s="1" t="s">
        <v>15</v>
      </c>
      <c r="J9" s="4">
        <v>0.9375</v>
      </c>
      <c r="K9" s="4">
        <v>0.88235294117647001</v>
      </c>
      <c r="L9" s="4">
        <v>0.90909090909090895</v>
      </c>
      <c r="M9" s="4">
        <v>0.79937304075235105</v>
      </c>
      <c r="N9" s="4">
        <v>0.6</v>
      </c>
    </row>
    <row r="10" spans="1:15" thickTop="1" thickBot="1" x14ac:dyDescent="0.3">
      <c r="A10" s="1" t="s">
        <v>16</v>
      </c>
      <c r="B10" s="4">
        <v>0.94871794871794801</v>
      </c>
      <c r="C10" s="4">
        <v>0.72549019607843102</v>
      </c>
      <c r="D10" s="4">
        <v>0.82222222222222197</v>
      </c>
      <c r="E10" s="4">
        <v>0.70058479532163698</v>
      </c>
      <c r="F10" s="4">
        <v>0.42536475869809198</v>
      </c>
      <c r="G10" s="10">
        <f t="shared" si="0"/>
        <v>-5.9114829209025999E-2</v>
      </c>
      <c r="I10" s="1" t="s">
        <v>16</v>
      </c>
      <c r="J10" s="4">
        <v>0.95348837209302295</v>
      </c>
      <c r="K10" s="4">
        <v>0.80392156862745101</v>
      </c>
      <c r="L10" s="4">
        <v>0.87234042553191404</v>
      </c>
      <c r="M10" s="4">
        <v>0.75969962453066298</v>
      </c>
      <c r="N10" s="4">
        <v>0.52883435582822003</v>
      </c>
    </row>
    <row r="11" spans="1:15" thickTop="1" thickBot="1" x14ac:dyDescent="0.3">
      <c r="A11" s="1" t="s">
        <v>17</v>
      </c>
      <c r="B11" s="4">
        <v>0.98076923076922995</v>
      </c>
      <c r="C11" s="4">
        <v>0.98076923076922995</v>
      </c>
      <c r="D11" s="4">
        <v>0.98076923076922995</v>
      </c>
      <c r="E11" s="4">
        <v>0.94871794871794801</v>
      </c>
      <c r="F11" s="4">
        <v>0.89743589743589702</v>
      </c>
      <c r="G11" s="10">
        <f t="shared" si="0"/>
        <v>0</v>
      </c>
      <c r="I11" s="1" t="s">
        <v>17</v>
      </c>
      <c r="J11" s="4">
        <v>0.98076923076922995</v>
      </c>
      <c r="K11" s="4">
        <v>0.98076923076922995</v>
      </c>
      <c r="L11" s="4">
        <v>0.98076923076922995</v>
      </c>
      <c r="M11" s="4">
        <v>0.94871794871794801</v>
      </c>
      <c r="N11" s="4">
        <v>0.89743589743589702</v>
      </c>
    </row>
    <row r="12" spans="1:15" thickTop="1" thickBot="1" x14ac:dyDescent="0.3">
      <c r="A12" s="1" t="s">
        <v>18</v>
      </c>
      <c r="B12" s="4">
        <v>0.70588235294117596</v>
      </c>
      <c r="C12" s="4">
        <v>0.63157894736842102</v>
      </c>
      <c r="D12" s="4">
        <v>0.66666666666666596</v>
      </c>
      <c r="E12" s="4">
        <v>0.61904761904761896</v>
      </c>
      <c r="F12" s="4">
        <v>0.24110671936758801</v>
      </c>
      <c r="G12" s="10">
        <f t="shared" si="0"/>
        <v>-6.1540770760628027E-2</v>
      </c>
      <c r="I12" s="1" t="s">
        <v>18</v>
      </c>
      <c r="J12" s="4">
        <v>0.72093023255813904</v>
      </c>
      <c r="K12" s="4">
        <v>0.81578947368420995</v>
      </c>
      <c r="L12" s="4">
        <v>0.76543209876543195</v>
      </c>
      <c r="M12" s="4">
        <v>0.68058838980824699</v>
      </c>
      <c r="N12" s="4">
        <v>0.36534446764091799</v>
      </c>
    </row>
    <row r="13" spans="1:15" thickTop="1" thickBot="1" x14ac:dyDescent="0.3">
      <c r="A13" s="1" t="s">
        <v>19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10">
        <f t="shared" si="0"/>
        <v>0</v>
      </c>
      <c r="I13" s="1" t="s">
        <v>19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</row>
    <row r="14" spans="1:15" thickTop="1" thickBot="1" x14ac:dyDescent="0.3">
      <c r="A14" s="1" t="s">
        <v>20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10">
        <f t="shared" si="0"/>
        <v>0</v>
      </c>
      <c r="I14" s="1" t="s">
        <v>20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</row>
    <row r="15" spans="1:15" thickTop="1" thickBot="1" x14ac:dyDescent="0.3">
      <c r="A15" s="1" t="s">
        <v>21</v>
      </c>
      <c r="B15" s="4">
        <v>0.52380952380952295</v>
      </c>
      <c r="C15" s="4">
        <v>0.81481481481481399</v>
      </c>
      <c r="D15" s="4">
        <v>0.63768115942028902</v>
      </c>
      <c r="E15" s="4">
        <v>0.606976172930483</v>
      </c>
      <c r="F15" s="4">
        <v>0.25512104283053999</v>
      </c>
      <c r="G15" s="10">
        <f t="shared" si="0"/>
        <v>-1.2071446117135953E-2</v>
      </c>
      <c r="I15" s="1" t="s">
        <v>21</v>
      </c>
      <c r="J15" s="4">
        <v>0.53333333333333299</v>
      </c>
      <c r="K15" s="4">
        <v>0.88888888888888795</v>
      </c>
      <c r="L15" s="4">
        <v>0.66666666666666596</v>
      </c>
      <c r="M15" s="4">
        <v>0.61904761904761896</v>
      </c>
      <c r="N15" s="4">
        <v>0.29476584022038499</v>
      </c>
    </row>
    <row r="16" spans="1:15" thickTop="1" thickBot="1" x14ac:dyDescent="0.3">
      <c r="A16" s="1" t="s">
        <v>22</v>
      </c>
      <c r="B16" s="4">
        <v>1</v>
      </c>
      <c r="C16" s="4">
        <v>0.96491228070175405</v>
      </c>
      <c r="D16" s="4">
        <v>0.98214285714285698</v>
      </c>
      <c r="E16" s="4">
        <v>0.92857142857142805</v>
      </c>
      <c r="F16" s="4">
        <v>0.85746102449888595</v>
      </c>
      <c r="G16" s="10">
        <f t="shared" si="0"/>
        <v>-7.1428571428571952E-2</v>
      </c>
      <c r="I16" s="1" t="s">
        <v>22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</row>
    <row r="17" spans="1:14" thickTop="1" thickBot="1" x14ac:dyDescent="0.3">
      <c r="A17" s="1" t="s">
        <v>23</v>
      </c>
      <c r="B17" s="4">
        <v>0.98148148148148096</v>
      </c>
      <c r="C17" s="4">
        <v>0.96363636363636296</v>
      </c>
      <c r="D17" s="4">
        <v>0.97247706422018299</v>
      </c>
      <c r="E17" s="4">
        <v>0.90729116368903895</v>
      </c>
      <c r="F17" s="4">
        <v>0.81467181467181404</v>
      </c>
      <c r="G17" s="10">
        <f t="shared" si="0"/>
        <v>9.0399713201999576E-3</v>
      </c>
      <c r="I17" s="1" t="s">
        <v>23</v>
      </c>
      <c r="J17" s="4">
        <v>0.96428571428571397</v>
      </c>
      <c r="K17" s="4">
        <v>0.98181818181818103</v>
      </c>
      <c r="L17" s="4">
        <v>0.97297297297297303</v>
      </c>
      <c r="M17" s="4">
        <v>0.89825119236883899</v>
      </c>
      <c r="N17" s="4">
        <v>0.79661016949152497</v>
      </c>
    </row>
    <row r="18" spans="1:14" thickTop="1" thickBot="1" x14ac:dyDescent="0.3">
      <c r="A18" s="1" t="s">
        <v>24</v>
      </c>
      <c r="B18" s="4">
        <v>0.88135593220338904</v>
      </c>
      <c r="C18" s="4">
        <v>0.98113207547169801</v>
      </c>
      <c r="D18" s="4">
        <v>0.92857142857142805</v>
      </c>
      <c r="E18" s="4">
        <v>0.71428571428571397</v>
      </c>
      <c r="F18" s="4">
        <v>0.439824945295404</v>
      </c>
      <c r="G18" s="10">
        <f t="shared" si="0"/>
        <v>-2.1407501053519074E-2</v>
      </c>
      <c r="I18" s="1" t="s">
        <v>24</v>
      </c>
      <c r="J18" s="4">
        <v>0.88333333333333297</v>
      </c>
      <c r="K18" s="4">
        <v>1</v>
      </c>
      <c r="L18" s="4">
        <v>0.93805309734513198</v>
      </c>
      <c r="M18" s="4">
        <v>0.73569321533923304</v>
      </c>
      <c r="N18" s="4">
        <v>0.48623853211009099</v>
      </c>
    </row>
    <row r="19" spans="1:14" thickTop="1" thickBot="1" x14ac:dyDescent="0.3">
      <c r="A19" s="1" t="s">
        <v>25</v>
      </c>
      <c r="B19" s="4">
        <v>0.76470588235294101</v>
      </c>
      <c r="C19" s="4">
        <v>0.90697674418604601</v>
      </c>
      <c r="D19" s="4">
        <v>0.82978723404255295</v>
      </c>
      <c r="E19" s="4">
        <v>0.67959949937421704</v>
      </c>
      <c r="F19" s="4">
        <v>0.371779141104294</v>
      </c>
      <c r="G19" s="10">
        <f t="shared" si="0"/>
        <v>2.7898819102109007E-2</v>
      </c>
      <c r="I19" s="1" t="s">
        <v>25</v>
      </c>
      <c r="J19" s="4">
        <v>0.74545454545454504</v>
      </c>
      <c r="K19" s="4">
        <v>0.95348837209302295</v>
      </c>
      <c r="L19" s="4">
        <v>0.83673469387755095</v>
      </c>
      <c r="M19" s="4">
        <v>0.65170068027210803</v>
      </c>
      <c r="N19" s="4">
        <v>0.33592736705577098</v>
      </c>
    </row>
    <row r="20" spans="1:14" thickTop="1" thickBot="1" x14ac:dyDescent="0.3">
      <c r="A20" s="1" t="s">
        <v>26</v>
      </c>
      <c r="B20" s="4">
        <v>0.94736842105263097</v>
      </c>
      <c r="C20" s="4">
        <v>1</v>
      </c>
      <c r="D20" s="4">
        <v>0.97297297297297303</v>
      </c>
      <c r="E20" s="4">
        <v>0.98099198099198104</v>
      </c>
      <c r="F20" s="4">
        <v>0.96199524940617498</v>
      </c>
      <c r="G20" s="10">
        <f t="shared" si="0"/>
        <v>0</v>
      </c>
      <c r="I20" s="1" t="s">
        <v>26</v>
      </c>
      <c r="J20" s="4">
        <v>0.94736842105263097</v>
      </c>
      <c r="K20" s="4">
        <v>1</v>
      </c>
      <c r="L20" s="4">
        <v>0.97297297297297303</v>
      </c>
      <c r="M20" s="4">
        <v>0.98099198099198104</v>
      </c>
      <c r="N20" s="4">
        <v>0.96199524940617498</v>
      </c>
    </row>
    <row r="21" spans="1:14" thickTop="1" thickBot="1" x14ac:dyDescent="0.3">
      <c r="A21" s="1" t="s">
        <v>27</v>
      </c>
      <c r="B21" s="4">
        <v>0.75</v>
      </c>
      <c r="C21" s="4">
        <v>0.66666666666666596</v>
      </c>
      <c r="D21" s="4">
        <v>0.70588235294117596</v>
      </c>
      <c r="E21" s="4">
        <v>0.79974968710888605</v>
      </c>
      <c r="F21" s="4">
        <v>0.6</v>
      </c>
      <c r="G21" s="10">
        <f t="shared" si="0"/>
        <v>-0.12752304016384097</v>
      </c>
      <c r="I21" s="1" t="s">
        <v>27</v>
      </c>
      <c r="J21" s="4">
        <v>0.81818181818181801</v>
      </c>
      <c r="K21" s="4">
        <v>1</v>
      </c>
      <c r="L21" s="4">
        <v>0.9</v>
      </c>
      <c r="M21" s="4">
        <v>0.92727272727272703</v>
      </c>
      <c r="N21" s="4">
        <v>0.855203619909502</v>
      </c>
    </row>
    <row r="22" spans="1:14" thickTop="1" thickBot="1" x14ac:dyDescent="0.3">
      <c r="A22" s="1" t="s">
        <v>28</v>
      </c>
      <c r="B22" s="4">
        <v>0.88888888888888795</v>
      </c>
      <c r="C22" s="4">
        <v>1</v>
      </c>
      <c r="D22" s="4">
        <v>0.94117647058823495</v>
      </c>
      <c r="E22" s="4">
        <v>0.95994993742177703</v>
      </c>
      <c r="F22" s="4">
        <v>0.92</v>
      </c>
      <c r="G22" s="10">
        <f t="shared" si="0"/>
        <v>5.4990032461872063E-2</v>
      </c>
      <c r="I22" s="1" t="s">
        <v>28</v>
      </c>
      <c r="J22" s="4">
        <v>0.76190476190476097</v>
      </c>
      <c r="K22" s="4">
        <v>1</v>
      </c>
      <c r="L22" s="4">
        <v>0.86486486486486402</v>
      </c>
      <c r="M22" s="4">
        <v>0.90495990495990497</v>
      </c>
      <c r="N22" s="4">
        <v>0.81132075471698095</v>
      </c>
    </row>
    <row r="23" spans="1:14" thickTop="1" thickBot="1" x14ac:dyDescent="0.3">
      <c r="A23" s="1" t="s">
        <v>29</v>
      </c>
      <c r="B23" s="4">
        <v>0.84697111721404805</v>
      </c>
      <c r="C23" s="4">
        <v>0.87652374610013495</v>
      </c>
      <c r="D23" s="4">
        <v>0.85470394740465305</v>
      </c>
      <c r="E23" s="4">
        <v>0.82791451989678</v>
      </c>
      <c r="F23" s="4">
        <v>0.66249421544380505</v>
      </c>
      <c r="G23" s="10">
        <f t="shared" si="0"/>
        <v>-1.5645639223968E-2</v>
      </c>
      <c r="I23" s="1" t="s">
        <v>29</v>
      </c>
      <c r="J23" s="4">
        <v>0.84086237401024899</v>
      </c>
      <c r="K23" s="4">
        <v>0.92656040550928898</v>
      </c>
      <c r="L23" s="4">
        <v>0.873671750143314</v>
      </c>
      <c r="M23" s="4">
        <v>0.843560159120748</v>
      </c>
      <c r="N23" s="4">
        <v>0.69581409696619501</v>
      </c>
    </row>
    <row r="24" spans="1:14" thickTop="1" thickBot="1" x14ac:dyDescent="0.3">
      <c r="G24"/>
      <c r="I24" s="2"/>
    </row>
    <row r="25" spans="1:14" thickTop="1" thickBot="1" x14ac:dyDescent="0.3">
      <c r="A25" s="13" t="s">
        <v>7</v>
      </c>
      <c r="B25" s="13"/>
      <c r="C25" s="13"/>
      <c r="D25" s="13"/>
      <c r="E25" s="13"/>
      <c r="F25" s="13"/>
      <c r="G25"/>
      <c r="I25" s="13" t="s">
        <v>7</v>
      </c>
      <c r="J25" s="13"/>
      <c r="K25" s="13"/>
      <c r="L25" s="13"/>
      <c r="M25" s="13"/>
      <c r="N25" s="13"/>
    </row>
    <row r="26" spans="1:14" thickTop="1" thickBot="1" x14ac:dyDescent="0.3">
      <c r="A26" s="1" t="s">
        <v>9</v>
      </c>
      <c r="B26" s="3" t="s">
        <v>1</v>
      </c>
      <c r="C26" s="3" t="s">
        <v>2</v>
      </c>
      <c r="D26" s="3" t="s">
        <v>4</v>
      </c>
      <c r="E26" s="3" t="s">
        <v>3</v>
      </c>
      <c r="F26" s="3" t="s">
        <v>5</v>
      </c>
      <c r="G26" s="11" t="s">
        <v>33</v>
      </c>
      <c r="I26" s="1" t="s">
        <v>9</v>
      </c>
      <c r="J26" s="3" t="s">
        <v>1</v>
      </c>
      <c r="K26" s="3" t="s">
        <v>2</v>
      </c>
      <c r="L26" s="3" t="s">
        <v>4</v>
      </c>
      <c r="M26" s="3" t="s">
        <v>3</v>
      </c>
      <c r="N26" s="3" t="s">
        <v>5</v>
      </c>
    </row>
    <row r="27" spans="1:14" thickTop="1" thickBot="1" x14ac:dyDescent="0.3">
      <c r="A27" s="1" t="s">
        <v>10</v>
      </c>
      <c r="B27" s="4">
        <v>0.74545454545454504</v>
      </c>
      <c r="C27" s="4">
        <v>1</v>
      </c>
      <c r="D27" s="4">
        <v>0.85416666666666596</v>
      </c>
      <c r="E27" s="4">
        <v>0.70833333333333304</v>
      </c>
      <c r="F27" s="4">
        <v>0.45165238678090502</v>
      </c>
      <c r="G27" s="10">
        <f>E27-M27</f>
        <v>0</v>
      </c>
      <c r="I27" s="1" t="s">
        <v>10</v>
      </c>
      <c r="J27" s="4">
        <v>0.74545454545454504</v>
      </c>
      <c r="K27" s="4">
        <v>1</v>
      </c>
      <c r="L27" s="4">
        <v>0.85416666666666596</v>
      </c>
      <c r="M27" s="4">
        <v>0.70833333333333304</v>
      </c>
      <c r="N27" s="4">
        <v>0.45165238678090502</v>
      </c>
    </row>
    <row r="28" spans="1:14" thickTop="1" thickBot="1" x14ac:dyDescent="0.3">
      <c r="A28" s="1" t="s">
        <v>11</v>
      </c>
      <c r="B28" s="4">
        <v>0.77777777777777701</v>
      </c>
      <c r="C28" s="4">
        <v>0.60869565217391297</v>
      </c>
      <c r="D28" s="4">
        <v>0.68292682926829196</v>
      </c>
      <c r="E28" s="4">
        <v>0.76675077095598498</v>
      </c>
      <c r="F28" s="4">
        <v>0.53674832962137997</v>
      </c>
      <c r="G28" s="10">
        <f t="shared" ref="G28:G46" si="1">E28-M28</f>
        <v>-2.5457021251807044E-2</v>
      </c>
      <c r="I28" s="1" t="s">
        <v>11</v>
      </c>
      <c r="J28" s="4">
        <v>0.76190476190476097</v>
      </c>
      <c r="K28" s="4">
        <v>0.69565217391304301</v>
      </c>
      <c r="L28" s="4">
        <v>0.72727272727272696</v>
      </c>
      <c r="M28" s="4">
        <v>0.79220779220779203</v>
      </c>
      <c r="N28" s="4">
        <v>0.584864864864864</v>
      </c>
    </row>
    <row r="29" spans="1:14" thickTop="1" thickBot="1" x14ac:dyDescent="0.3">
      <c r="A29" s="1" t="s">
        <v>12</v>
      </c>
      <c r="B29" s="4">
        <v>0.58823529411764697</v>
      </c>
      <c r="C29" s="4">
        <v>0.52631578947368396</v>
      </c>
      <c r="D29" s="4">
        <v>0.55555555555555503</v>
      </c>
      <c r="E29" s="4">
        <v>0.69082125603864697</v>
      </c>
      <c r="F29" s="4">
        <v>0.38238841978287003</v>
      </c>
      <c r="G29" s="10">
        <f t="shared" si="1"/>
        <v>-2.882830591379304E-2</v>
      </c>
      <c r="I29" s="1" t="s">
        <v>12</v>
      </c>
      <c r="J29" s="4">
        <v>0.66666666666666596</v>
      </c>
      <c r="K29" s="4">
        <v>0.52631578947368396</v>
      </c>
      <c r="L29" s="4">
        <v>0.58823529411764697</v>
      </c>
      <c r="M29" s="4">
        <v>0.71964956195244001</v>
      </c>
      <c r="N29" s="4">
        <v>0.44209215442092098</v>
      </c>
    </row>
    <row r="30" spans="1:14" thickTop="1" thickBot="1" x14ac:dyDescent="0.3">
      <c r="A30" s="1" t="s">
        <v>13</v>
      </c>
      <c r="B30" s="4">
        <v>0.183673469387755</v>
      </c>
      <c r="C30" s="4">
        <v>0.81818181818181801</v>
      </c>
      <c r="D30" s="4">
        <v>0.3</v>
      </c>
      <c r="E30" s="4">
        <v>0.34117647058823503</v>
      </c>
      <c r="F30" s="4">
        <v>2.67921795800144E-2</v>
      </c>
      <c r="G30" s="10">
        <f t="shared" si="1"/>
        <v>0</v>
      </c>
      <c r="I30" s="1" t="s">
        <v>13</v>
      </c>
      <c r="J30" s="4">
        <v>0.183673469387755</v>
      </c>
      <c r="K30" s="4">
        <v>0.81818181818181801</v>
      </c>
      <c r="L30" s="4">
        <v>0.3</v>
      </c>
      <c r="M30" s="4">
        <v>0.34117647058823503</v>
      </c>
      <c r="N30" s="4">
        <v>2.67921795800144E-2</v>
      </c>
    </row>
    <row r="31" spans="1:14" thickTop="1" thickBot="1" x14ac:dyDescent="0.3">
      <c r="A31" s="1" t="s">
        <v>14</v>
      </c>
      <c r="B31" s="4">
        <v>0.65384615384615297</v>
      </c>
      <c r="C31" s="4">
        <v>0.89473684210526305</v>
      </c>
      <c r="D31" s="4">
        <v>0.75555555555555498</v>
      </c>
      <c r="E31" s="4">
        <v>0.81151271753681398</v>
      </c>
      <c r="F31" s="4">
        <v>0.62790697674418605</v>
      </c>
      <c r="G31" s="10">
        <f t="shared" si="1"/>
        <v>5.5974138468823931E-2</v>
      </c>
      <c r="I31" s="1" t="s">
        <v>14</v>
      </c>
      <c r="J31" s="4">
        <v>0.5625</v>
      </c>
      <c r="K31" s="4">
        <v>0.94736842105263097</v>
      </c>
      <c r="L31" s="4">
        <v>0.70588235294117596</v>
      </c>
      <c r="M31" s="4">
        <v>0.75553857906799005</v>
      </c>
      <c r="N31" s="4">
        <v>0.53125</v>
      </c>
    </row>
    <row r="32" spans="1:14" thickTop="1" thickBot="1" x14ac:dyDescent="0.3">
      <c r="A32" s="1" t="s">
        <v>15</v>
      </c>
      <c r="B32" s="4">
        <v>0.63636363636363602</v>
      </c>
      <c r="C32" s="4">
        <v>0.90322580645161199</v>
      </c>
      <c r="D32" s="4">
        <v>0.74666666666666603</v>
      </c>
      <c r="E32" s="4">
        <v>0.69408805031446497</v>
      </c>
      <c r="F32" s="4">
        <v>0.41312741312741302</v>
      </c>
      <c r="G32" s="10">
        <f t="shared" si="1"/>
        <v>4.1285157005242934E-2</v>
      </c>
      <c r="I32" s="1" t="s">
        <v>15</v>
      </c>
      <c r="J32" s="4">
        <v>0.60416666666666596</v>
      </c>
      <c r="K32" s="4">
        <v>0.93548387096774099</v>
      </c>
      <c r="L32" s="4">
        <v>0.734177215189873</v>
      </c>
      <c r="M32" s="4">
        <v>0.65280289330922203</v>
      </c>
      <c r="N32" s="4">
        <v>0.35384615384615298</v>
      </c>
    </row>
    <row r="33" spans="1:14" thickTop="1" thickBot="1" x14ac:dyDescent="0.3">
      <c r="A33" s="1" t="s">
        <v>16</v>
      </c>
      <c r="B33" s="4">
        <v>0.56410256410256399</v>
      </c>
      <c r="C33" s="4">
        <v>0.84615384615384603</v>
      </c>
      <c r="D33" s="4">
        <v>0.67692307692307696</v>
      </c>
      <c r="E33" s="4">
        <v>0.67179487179487096</v>
      </c>
      <c r="F33" s="4">
        <v>0.36960600375234498</v>
      </c>
      <c r="G33" s="10">
        <f t="shared" si="1"/>
        <v>6.4818698864387958E-2</v>
      </c>
      <c r="I33" s="1" t="s">
        <v>16</v>
      </c>
      <c r="J33" s="4">
        <v>0.51162790697674398</v>
      </c>
      <c r="K33" s="4">
        <v>0.84615384615384603</v>
      </c>
      <c r="L33" s="4">
        <v>0.63768115942028902</v>
      </c>
      <c r="M33" s="4">
        <v>0.606976172930483</v>
      </c>
      <c r="N33" s="4">
        <v>0.26605504587155898</v>
      </c>
    </row>
    <row r="34" spans="1:14" thickTop="1" thickBot="1" x14ac:dyDescent="0.3">
      <c r="A34" s="1" t="s">
        <v>17</v>
      </c>
      <c r="B34" s="4">
        <v>0.67307692307692302</v>
      </c>
      <c r="C34" s="4">
        <v>1</v>
      </c>
      <c r="D34" s="4">
        <v>0.80459770114942497</v>
      </c>
      <c r="E34" s="4">
        <v>0.69498177740398004</v>
      </c>
      <c r="F34" s="4">
        <v>0.43568464730290402</v>
      </c>
      <c r="G34" s="10">
        <f t="shared" si="1"/>
        <v>0</v>
      </c>
      <c r="I34" s="1" t="s">
        <v>17</v>
      </c>
      <c r="J34" s="4">
        <v>0.67307692307692302</v>
      </c>
      <c r="K34" s="4">
        <v>1</v>
      </c>
      <c r="L34" s="4">
        <v>0.80459770114942497</v>
      </c>
      <c r="M34" s="4">
        <v>0.69498177740398004</v>
      </c>
      <c r="N34" s="4">
        <v>0.43568464730290402</v>
      </c>
    </row>
    <row r="35" spans="1:14" thickTop="1" thickBot="1" x14ac:dyDescent="0.3">
      <c r="A35" s="1" t="s">
        <v>18</v>
      </c>
      <c r="B35" s="4">
        <v>0.55882352941176405</v>
      </c>
      <c r="C35" s="4">
        <v>0.73076923076922995</v>
      </c>
      <c r="D35" s="4">
        <v>0.63333333333333297</v>
      </c>
      <c r="E35" s="4">
        <v>0.65490196078431295</v>
      </c>
      <c r="F35" s="4">
        <v>0.32046332046331999</v>
      </c>
      <c r="G35" s="10">
        <f t="shared" si="1"/>
        <v>1.6483881688267976E-2</v>
      </c>
      <c r="I35" s="1" t="s">
        <v>18</v>
      </c>
      <c r="J35" s="4">
        <v>0.53488372093023195</v>
      </c>
      <c r="K35" s="4">
        <v>0.88461538461538403</v>
      </c>
      <c r="L35" s="4">
        <v>0.66666666666666596</v>
      </c>
      <c r="M35" s="4">
        <v>0.63841807909604498</v>
      </c>
      <c r="N35" s="4">
        <v>0.32477064220183399</v>
      </c>
    </row>
    <row r="36" spans="1:14" thickTop="1" thickBot="1" x14ac:dyDescent="0.3">
      <c r="A36" s="1" t="s">
        <v>19</v>
      </c>
      <c r="B36" s="4">
        <v>1</v>
      </c>
      <c r="C36" s="4">
        <v>1</v>
      </c>
      <c r="D36" s="4">
        <v>1</v>
      </c>
      <c r="E36" s="4">
        <v>1</v>
      </c>
      <c r="F36" s="4">
        <v>1</v>
      </c>
      <c r="G36" s="10">
        <f t="shared" si="1"/>
        <v>0</v>
      </c>
      <c r="I36" s="1" t="s">
        <v>19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</row>
    <row r="37" spans="1:14" thickTop="1" thickBot="1" x14ac:dyDescent="0.3">
      <c r="A37" s="1" t="s">
        <v>20</v>
      </c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10">
        <f t="shared" si="1"/>
        <v>0</v>
      </c>
      <c r="I37" s="1" t="s">
        <v>20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</row>
    <row r="38" spans="1:14" thickTop="1" thickBot="1" x14ac:dyDescent="0.3">
      <c r="A38" s="1" t="s">
        <v>21</v>
      </c>
      <c r="B38" s="4">
        <v>0.16666666666666599</v>
      </c>
      <c r="C38" s="4">
        <v>0.875</v>
      </c>
      <c r="D38" s="4">
        <v>0.28000000000000003</v>
      </c>
      <c r="E38" s="4">
        <v>0.40923076923076901</v>
      </c>
      <c r="F38" s="4">
        <v>8.8607594936708806E-2</v>
      </c>
      <c r="G38" s="10">
        <f t="shared" si="1"/>
        <v>4.9540396710209822E-3</v>
      </c>
      <c r="I38" s="1" t="s">
        <v>21</v>
      </c>
      <c r="J38" s="4">
        <v>0.17777777777777701</v>
      </c>
      <c r="K38" s="4">
        <v>1</v>
      </c>
      <c r="L38" s="4">
        <v>0.30188679245283001</v>
      </c>
      <c r="M38" s="4">
        <v>0.40427672955974803</v>
      </c>
      <c r="N38" s="4">
        <v>0.11377245508981999</v>
      </c>
    </row>
    <row r="39" spans="1:14" thickTop="1" thickBot="1" x14ac:dyDescent="0.3">
      <c r="A39" s="1" t="s">
        <v>22</v>
      </c>
      <c r="B39" s="4">
        <v>0.94545454545454499</v>
      </c>
      <c r="C39" s="4">
        <v>0.96296296296296202</v>
      </c>
      <c r="D39" s="4">
        <v>0.95412844036697197</v>
      </c>
      <c r="E39" s="4">
        <v>0.84548527281506503</v>
      </c>
      <c r="F39" s="4">
        <v>0.69111969111969096</v>
      </c>
      <c r="G39" s="10">
        <f t="shared" si="1"/>
        <v>-5.2765919553773966E-2</v>
      </c>
      <c r="I39" s="1" t="s">
        <v>22</v>
      </c>
      <c r="J39" s="4">
        <v>0.94736842105263097</v>
      </c>
      <c r="K39" s="4">
        <v>1</v>
      </c>
      <c r="L39" s="4">
        <v>0.97297297297297303</v>
      </c>
      <c r="M39" s="4">
        <v>0.89825119236883899</v>
      </c>
      <c r="N39" s="4">
        <v>0.797468354430379</v>
      </c>
    </row>
    <row r="40" spans="1:14" thickTop="1" thickBot="1" x14ac:dyDescent="0.3">
      <c r="A40" s="1" t="s">
        <v>23</v>
      </c>
      <c r="B40" s="4">
        <v>1</v>
      </c>
      <c r="C40" s="4">
        <v>0.96428571428571397</v>
      </c>
      <c r="D40" s="4">
        <v>0.98181818181818103</v>
      </c>
      <c r="E40" s="4">
        <v>0.93535353535353505</v>
      </c>
      <c r="F40" s="4">
        <v>0.87096774193548299</v>
      </c>
      <c r="G40" s="10">
        <f t="shared" si="1"/>
        <v>6.7821067821070002E-3</v>
      </c>
      <c r="I40" s="1" t="s">
        <v>23</v>
      </c>
      <c r="J40" s="4">
        <v>0.98214285714285698</v>
      </c>
      <c r="K40" s="4">
        <v>0.98214285714285698</v>
      </c>
      <c r="L40" s="4">
        <v>0.98214285714285698</v>
      </c>
      <c r="M40" s="4">
        <v>0.92857142857142805</v>
      </c>
      <c r="N40" s="4">
        <v>0.85714285714285698</v>
      </c>
    </row>
    <row r="41" spans="1:14" thickTop="1" thickBot="1" x14ac:dyDescent="0.3">
      <c r="A41" s="1" t="s">
        <v>24</v>
      </c>
      <c r="B41" s="4">
        <v>0.677966101694915</v>
      </c>
      <c r="C41" s="4">
        <v>0.97560975609756095</v>
      </c>
      <c r="D41" s="4">
        <v>0.8</v>
      </c>
      <c r="E41" s="4">
        <v>0.54285714285714204</v>
      </c>
      <c r="F41" s="4">
        <v>0.18053777208706701</v>
      </c>
      <c r="G41" s="10">
        <f t="shared" si="1"/>
        <v>-1.1231599350411958E-2</v>
      </c>
      <c r="I41" s="1" t="s">
        <v>24</v>
      </c>
      <c r="J41" s="4">
        <v>0.68333333333333302</v>
      </c>
      <c r="K41" s="4">
        <v>1</v>
      </c>
      <c r="L41" s="4">
        <v>0.81188118811881105</v>
      </c>
      <c r="M41" s="4">
        <v>0.554088742207554</v>
      </c>
      <c r="N41" s="4">
        <v>0.21243523316062099</v>
      </c>
    </row>
    <row r="42" spans="1:14" thickTop="1" thickBot="1" x14ac:dyDescent="0.3">
      <c r="A42" s="1" t="s">
        <v>25</v>
      </c>
      <c r="B42" s="4">
        <v>0.64705882352941102</v>
      </c>
      <c r="C42" s="4">
        <v>0.91666666666666596</v>
      </c>
      <c r="D42" s="4">
        <v>0.75862068965517204</v>
      </c>
      <c r="E42" s="4">
        <v>0.62321278385197598</v>
      </c>
      <c r="F42" s="4">
        <v>0.291139240506329</v>
      </c>
      <c r="G42" s="10">
        <f t="shared" si="1"/>
        <v>2.238118302037595E-2</v>
      </c>
      <c r="I42" s="1" t="s">
        <v>25</v>
      </c>
      <c r="J42" s="4">
        <v>0.63636363636363602</v>
      </c>
      <c r="K42" s="4">
        <v>0.97222222222222199</v>
      </c>
      <c r="L42" s="4">
        <v>0.76923076923076905</v>
      </c>
      <c r="M42" s="4">
        <v>0.60083160083160003</v>
      </c>
      <c r="N42" s="4">
        <v>0.27896995708154498</v>
      </c>
    </row>
    <row r="43" spans="1:14" thickTop="1" thickBot="1" x14ac:dyDescent="0.3">
      <c r="A43" s="1" t="s">
        <v>26</v>
      </c>
      <c r="B43" s="4">
        <v>0.73684210526315697</v>
      </c>
      <c r="C43" s="4">
        <v>1</v>
      </c>
      <c r="D43" s="4">
        <v>0.84848484848484795</v>
      </c>
      <c r="E43" s="4">
        <v>0.89792663476874002</v>
      </c>
      <c r="F43" s="4">
        <v>0.797468354430379</v>
      </c>
      <c r="G43" s="10">
        <f t="shared" si="1"/>
        <v>0</v>
      </c>
      <c r="I43" s="1" t="s">
        <v>26</v>
      </c>
      <c r="J43" s="4">
        <v>0.73684210526315697</v>
      </c>
      <c r="K43" s="4">
        <v>1</v>
      </c>
      <c r="L43" s="4">
        <v>0.84848484848484795</v>
      </c>
      <c r="M43" s="4">
        <v>0.89792663476874002</v>
      </c>
      <c r="N43" s="4">
        <v>0.797468354430379</v>
      </c>
    </row>
    <row r="44" spans="1:14" thickTop="1" thickBot="1" x14ac:dyDescent="0.3">
      <c r="A44" s="1" t="s">
        <v>27</v>
      </c>
      <c r="B44" s="4">
        <v>0.875</v>
      </c>
      <c r="C44" s="4">
        <v>0.7</v>
      </c>
      <c r="D44" s="4">
        <v>0.77777777777777701</v>
      </c>
      <c r="E44" s="4">
        <v>0.84541062801932298</v>
      </c>
      <c r="F44" s="4">
        <v>0.69230769230769196</v>
      </c>
      <c r="G44" s="10">
        <f t="shared" si="1"/>
        <v>-0.11915194119440897</v>
      </c>
      <c r="I44" s="1" t="s">
        <v>27</v>
      </c>
      <c r="J44" s="4">
        <v>0.90909090909090895</v>
      </c>
      <c r="K44" s="4">
        <v>1</v>
      </c>
      <c r="L44" s="4">
        <v>0.952380952380952</v>
      </c>
      <c r="M44" s="4">
        <v>0.96456256921373196</v>
      </c>
      <c r="N44" s="4">
        <v>0.92920353982300796</v>
      </c>
    </row>
    <row r="45" spans="1:14" thickTop="1" thickBot="1" x14ac:dyDescent="0.3">
      <c r="A45" s="1" t="s">
        <v>28</v>
      </c>
      <c r="B45" s="4">
        <v>0.44444444444444398</v>
      </c>
      <c r="C45" s="4">
        <v>0.8</v>
      </c>
      <c r="D45" s="4">
        <v>0.57142857142857095</v>
      </c>
      <c r="E45" s="4">
        <v>0.72571428571428498</v>
      </c>
      <c r="F45" s="4">
        <v>0.463687150837988</v>
      </c>
      <c r="G45" s="10">
        <f t="shared" si="1"/>
        <v>2.4020143474750011E-3</v>
      </c>
      <c r="I45" s="1" t="s">
        <v>28</v>
      </c>
      <c r="J45" s="4">
        <v>0.42857142857142799</v>
      </c>
      <c r="K45" s="4">
        <v>0.9</v>
      </c>
      <c r="L45" s="4">
        <v>0.58064516129032195</v>
      </c>
      <c r="M45" s="4">
        <v>0.72331227136680998</v>
      </c>
      <c r="N45" s="4">
        <v>0.46803069053708402</v>
      </c>
    </row>
    <row r="46" spans="1:14" thickTop="1" thickBot="1" x14ac:dyDescent="0.3">
      <c r="A46" s="1" t="s">
        <v>29</v>
      </c>
      <c r="B46" s="4">
        <v>0.67762034634694202</v>
      </c>
      <c r="C46" s="4">
        <v>0.86961074133275096</v>
      </c>
      <c r="D46" s="4">
        <v>0.73589388919210996</v>
      </c>
      <c r="E46" s="4">
        <v>0.72945011901902501</v>
      </c>
      <c r="F46" s="4">
        <v>0.50737920606929898</v>
      </c>
      <c r="G46" s="10">
        <f t="shared" si="1"/>
        <v>-1.1765035482369512E-3</v>
      </c>
      <c r="I46" s="1" t="s">
        <v>29</v>
      </c>
      <c r="J46" s="4">
        <v>0.670812901561054</v>
      </c>
      <c r="K46" s="4">
        <v>0.92148086230122195</v>
      </c>
      <c r="L46" s="4">
        <v>0.749384490815728</v>
      </c>
      <c r="M46" s="4">
        <v>0.73062662256726196</v>
      </c>
      <c r="N46" s="4">
        <v>0.51955260613499199</v>
      </c>
    </row>
    <row r="47" spans="1:14" thickTop="1" thickBot="1" x14ac:dyDescent="0.3">
      <c r="G47" s="10"/>
      <c r="I47" s="2"/>
    </row>
    <row r="48" spans="1:14" thickTop="1" thickBot="1" x14ac:dyDescent="0.3">
      <c r="A48" s="13" t="s">
        <v>6</v>
      </c>
      <c r="B48" s="13"/>
      <c r="C48" s="13"/>
      <c r="D48" s="13"/>
      <c r="E48" s="13"/>
      <c r="F48" s="13"/>
      <c r="G48" s="10"/>
      <c r="I48" s="13" t="s">
        <v>6</v>
      </c>
      <c r="J48" s="13"/>
      <c r="K48" s="13"/>
      <c r="L48" s="13"/>
      <c r="M48" s="13"/>
      <c r="N48" s="13"/>
    </row>
    <row r="49" spans="1:14" thickTop="1" thickBot="1" x14ac:dyDescent="0.3">
      <c r="A49" s="1" t="s">
        <v>9</v>
      </c>
      <c r="B49" s="3" t="s">
        <v>1</v>
      </c>
      <c r="C49" s="3" t="s">
        <v>2</v>
      </c>
      <c r="D49" s="3" t="s">
        <v>4</v>
      </c>
      <c r="E49" s="3" t="s">
        <v>3</v>
      </c>
      <c r="F49" s="3" t="s">
        <v>5</v>
      </c>
      <c r="G49" s="11" t="s">
        <v>33</v>
      </c>
      <c r="I49" s="1" t="s">
        <v>9</v>
      </c>
      <c r="J49" s="3" t="s">
        <v>1</v>
      </c>
      <c r="K49" s="3" t="s">
        <v>2</v>
      </c>
      <c r="L49" s="3" t="s">
        <v>4</v>
      </c>
      <c r="M49" s="3" t="s">
        <v>3</v>
      </c>
      <c r="N49" s="3" t="s">
        <v>5</v>
      </c>
    </row>
    <row r="50" spans="1:14" thickTop="1" thickBot="1" x14ac:dyDescent="0.3">
      <c r="A50" s="1" t="s">
        <v>10</v>
      </c>
      <c r="B50" s="4">
        <v>0.94545454545454499</v>
      </c>
      <c r="C50" s="4">
        <v>1</v>
      </c>
      <c r="D50" s="4">
        <v>0.97196261682242902</v>
      </c>
      <c r="E50" s="4">
        <v>0.91455273698264306</v>
      </c>
      <c r="F50" s="4">
        <v>0.82978723404255295</v>
      </c>
      <c r="G50" s="10">
        <f>E50-M50</f>
        <v>0</v>
      </c>
      <c r="I50" s="1" t="s">
        <v>10</v>
      </c>
      <c r="J50" s="4">
        <v>0.94545454545454499</v>
      </c>
      <c r="K50" s="4">
        <v>1</v>
      </c>
      <c r="L50" s="4">
        <v>0.97196261682242902</v>
      </c>
      <c r="M50" s="4">
        <v>0.91455273698264306</v>
      </c>
      <c r="N50" s="4">
        <v>0.82978723404255295</v>
      </c>
    </row>
    <row r="51" spans="1:14" thickTop="1" thickBot="1" x14ac:dyDescent="0.3">
      <c r="A51" s="1" t="s">
        <v>11</v>
      </c>
      <c r="B51" s="4">
        <v>0.72222222222222199</v>
      </c>
      <c r="C51" s="4">
        <v>0.56521739130434701</v>
      </c>
      <c r="D51" s="4">
        <v>0.63414634146341398</v>
      </c>
      <c r="E51" s="4">
        <v>0.73086627417998296</v>
      </c>
      <c r="F51" s="4">
        <v>0.465478841870824</v>
      </c>
      <c r="G51" s="10">
        <f t="shared" ref="G51:G69" si="2">E51-M51</f>
        <v>-9.5973552659843087E-2</v>
      </c>
      <c r="I51" s="1" t="s">
        <v>11</v>
      </c>
      <c r="J51" s="4">
        <v>0.80952380952380898</v>
      </c>
      <c r="K51" s="4">
        <v>0.73913043478260798</v>
      </c>
      <c r="L51" s="4">
        <v>0.77272727272727204</v>
      </c>
      <c r="M51" s="4">
        <v>0.82683982683982604</v>
      </c>
      <c r="N51" s="4">
        <v>0.65405405405405403</v>
      </c>
    </row>
    <row r="52" spans="1:14" thickTop="1" thickBot="1" x14ac:dyDescent="0.3">
      <c r="A52" s="1" t="s">
        <v>12</v>
      </c>
      <c r="B52" s="4">
        <v>1</v>
      </c>
      <c r="C52" s="4">
        <v>0.36170212765957399</v>
      </c>
      <c r="D52" s="4">
        <v>0.53125</v>
      </c>
      <c r="E52" s="4">
        <v>0.53125</v>
      </c>
      <c r="F52" s="4">
        <v>0.231385108086469</v>
      </c>
      <c r="G52" s="10">
        <f t="shared" si="2"/>
        <v>3.1738758553275015E-2</v>
      </c>
      <c r="I52" s="1" t="s">
        <v>12</v>
      </c>
      <c r="J52" s="4">
        <v>1</v>
      </c>
      <c r="K52" s="4">
        <v>0.31914893617021201</v>
      </c>
      <c r="L52" s="4">
        <v>0.483870967741935</v>
      </c>
      <c r="M52" s="4">
        <v>0.49951124144672499</v>
      </c>
      <c r="N52" s="4">
        <v>0.199374511336982</v>
      </c>
    </row>
    <row r="53" spans="1:14" thickTop="1" thickBot="1" x14ac:dyDescent="0.3">
      <c r="A53" s="1" t="s">
        <v>13</v>
      </c>
      <c r="B53" s="4">
        <v>0.91836734693877498</v>
      </c>
      <c r="C53" s="4">
        <v>0.95744680851063801</v>
      </c>
      <c r="D53" s="4">
        <v>0.9375</v>
      </c>
      <c r="E53" s="4">
        <v>0.875</v>
      </c>
      <c r="F53" s="4">
        <v>0.75032509752925802</v>
      </c>
      <c r="G53" s="10">
        <f t="shared" si="2"/>
        <v>0</v>
      </c>
      <c r="I53" s="1" t="s">
        <v>13</v>
      </c>
      <c r="J53" s="4">
        <v>0.91836734693877498</v>
      </c>
      <c r="K53" s="4">
        <v>0.95744680851063801</v>
      </c>
      <c r="L53" s="4">
        <v>0.9375</v>
      </c>
      <c r="M53" s="4">
        <v>0.875</v>
      </c>
      <c r="N53" s="4">
        <v>0.75032509752925802</v>
      </c>
    </row>
    <row r="54" spans="1:14" thickTop="1" thickBot="1" x14ac:dyDescent="0.3">
      <c r="A54" s="1" t="s">
        <v>14</v>
      </c>
      <c r="B54" s="4">
        <v>0.73076923076922995</v>
      </c>
      <c r="C54" s="4">
        <v>0.86363636363636298</v>
      </c>
      <c r="D54" s="4">
        <v>0.79166666666666596</v>
      </c>
      <c r="E54" s="4">
        <v>0.83333333333333304</v>
      </c>
      <c r="F54" s="4">
        <v>0.66804979253111996</v>
      </c>
      <c r="G54" s="10">
        <f t="shared" si="2"/>
        <v>2.5525525525526005E-2</v>
      </c>
      <c r="I54" s="1" t="s">
        <v>14</v>
      </c>
      <c r="J54" s="4">
        <v>0.65625</v>
      </c>
      <c r="K54" s="4">
        <v>0.95454545454545403</v>
      </c>
      <c r="L54" s="4">
        <v>0.77777777777777701</v>
      </c>
      <c r="M54" s="4">
        <v>0.80780780780780703</v>
      </c>
      <c r="N54" s="4">
        <v>0.625</v>
      </c>
    </row>
    <row r="55" spans="1:14" thickTop="1" thickBot="1" x14ac:dyDescent="0.3">
      <c r="A55" s="1" t="s">
        <v>15</v>
      </c>
      <c r="B55" s="4">
        <v>1</v>
      </c>
      <c r="C55" s="4">
        <v>0.77192982456140302</v>
      </c>
      <c r="D55" s="4">
        <v>0.87128712871287095</v>
      </c>
      <c r="E55" s="4">
        <v>0.694902823615694</v>
      </c>
      <c r="F55" s="4">
        <v>0.425414364640884</v>
      </c>
      <c r="G55" s="10">
        <f t="shared" si="2"/>
        <v>-6.6587859614118949E-2</v>
      </c>
      <c r="I55" s="1" t="s">
        <v>15</v>
      </c>
      <c r="J55" s="4">
        <v>1</v>
      </c>
      <c r="K55" s="4">
        <v>0.84210526315789402</v>
      </c>
      <c r="L55" s="4">
        <v>0.91428571428571404</v>
      </c>
      <c r="M55" s="4">
        <v>0.76149068322981295</v>
      </c>
      <c r="N55" s="4">
        <v>0.53846153846153799</v>
      </c>
    </row>
    <row r="56" spans="1:14" thickTop="1" thickBot="1" x14ac:dyDescent="0.3">
      <c r="A56" s="1" t="s">
        <v>16</v>
      </c>
      <c r="B56" s="4">
        <v>0.76923076923076905</v>
      </c>
      <c r="C56" s="4">
        <v>0.73170731707317005</v>
      </c>
      <c r="D56" s="4">
        <v>0.75</v>
      </c>
      <c r="E56" s="4">
        <v>0.66666666666666596</v>
      </c>
      <c r="F56" s="4">
        <v>0.33402705515088399</v>
      </c>
      <c r="G56" s="10">
        <f t="shared" si="2"/>
        <v>-2.1645021645022022E-2</v>
      </c>
      <c r="I56" s="1" t="s">
        <v>16</v>
      </c>
      <c r="J56" s="4">
        <v>0.76744186046511598</v>
      </c>
      <c r="K56" s="4">
        <v>0.80487804878048697</v>
      </c>
      <c r="L56" s="4">
        <v>0.78571428571428503</v>
      </c>
      <c r="M56" s="4">
        <v>0.68831168831168799</v>
      </c>
      <c r="N56" s="4">
        <v>0.377297297297297</v>
      </c>
    </row>
    <row r="57" spans="1:14" thickTop="1" thickBot="1" x14ac:dyDescent="0.3">
      <c r="A57" s="1" t="s">
        <v>17</v>
      </c>
      <c r="B57" s="4">
        <v>0.51923076923076905</v>
      </c>
      <c r="C57" s="4">
        <v>0.9</v>
      </c>
      <c r="D57" s="4">
        <v>0.65853658536585302</v>
      </c>
      <c r="E57" s="4">
        <v>0.52492046659597003</v>
      </c>
      <c r="F57" s="4">
        <v>0.157894736842105</v>
      </c>
      <c r="G57" s="10">
        <f t="shared" si="2"/>
        <v>0</v>
      </c>
      <c r="I57" s="1" t="s">
        <v>17</v>
      </c>
      <c r="J57" s="4">
        <v>0.51923076923076905</v>
      </c>
      <c r="K57" s="4">
        <v>0.9</v>
      </c>
      <c r="L57" s="4">
        <v>0.65853658536585302</v>
      </c>
      <c r="M57" s="4">
        <v>0.52492046659597003</v>
      </c>
      <c r="N57" s="4">
        <v>0.157894736842105</v>
      </c>
    </row>
    <row r="58" spans="1:14" thickTop="1" thickBot="1" x14ac:dyDescent="0.3">
      <c r="A58" s="1" t="s">
        <v>18</v>
      </c>
      <c r="B58" s="4">
        <v>0.91176470588235203</v>
      </c>
      <c r="C58" s="4">
        <v>0.62</v>
      </c>
      <c r="D58" s="4">
        <v>0.73809523809523803</v>
      </c>
      <c r="E58" s="4">
        <v>0.61904761904761896</v>
      </c>
      <c r="F58" s="4">
        <v>0.28744939271254999</v>
      </c>
      <c r="G58" s="10">
        <f t="shared" si="2"/>
        <v>-0.12534562211981504</v>
      </c>
      <c r="I58" s="1" t="s">
        <v>18</v>
      </c>
      <c r="J58" s="4">
        <v>0.93023255813953398</v>
      </c>
      <c r="K58" s="4">
        <v>0.8</v>
      </c>
      <c r="L58" s="4">
        <v>0.86021505376343999</v>
      </c>
      <c r="M58" s="4">
        <v>0.74439324116743399</v>
      </c>
      <c r="N58" s="4">
        <v>0.49636803874092</v>
      </c>
    </row>
    <row r="59" spans="1:14" thickTop="1" thickBot="1" x14ac:dyDescent="0.3">
      <c r="A59" s="1" t="s">
        <v>19</v>
      </c>
      <c r="B59" s="4">
        <v>0.97959183673469297</v>
      </c>
      <c r="C59" s="4">
        <v>1</v>
      </c>
      <c r="D59" s="4">
        <v>0.98969072164948402</v>
      </c>
      <c r="E59" s="4">
        <v>0.97871632856667701</v>
      </c>
      <c r="F59" s="4">
        <v>0.95744680851063801</v>
      </c>
      <c r="G59" s="10">
        <f t="shared" si="2"/>
        <v>0</v>
      </c>
      <c r="I59" s="1" t="s">
        <v>19</v>
      </c>
      <c r="J59" s="4">
        <v>0.97959183673469297</v>
      </c>
      <c r="K59" s="4">
        <v>1</v>
      </c>
      <c r="L59" s="4">
        <v>0.98969072164948402</v>
      </c>
      <c r="M59" s="4">
        <v>0.97871632856667701</v>
      </c>
      <c r="N59" s="4">
        <v>0.95744680851063801</v>
      </c>
    </row>
    <row r="60" spans="1:14" thickTop="1" thickBot="1" x14ac:dyDescent="0.3">
      <c r="A60" s="1" t="s">
        <v>20</v>
      </c>
      <c r="B60" s="4">
        <v>1</v>
      </c>
      <c r="C60" s="4">
        <v>1</v>
      </c>
      <c r="D60" s="4">
        <v>1</v>
      </c>
      <c r="E60" s="4">
        <v>1</v>
      </c>
      <c r="F60" s="4">
        <v>1</v>
      </c>
      <c r="G60" s="10">
        <f t="shared" si="2"/>
        <v>0</v>
      </c>
      <c r="I60" s="1" t="s">
        <v>20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</row>
    <row r="61" spans="1:14" thickTop="1" thickBot="1" x14ac:dyDescent="0.3">
      <c r="A61" s="1" t="s">
        <v>21</v>
      </c>
      <c r="B61" s="4">
        <v>0.97619047619047605</v>
      </c>
      <c r="C61" s="4">
        <v>0.73214285714285698</v>
      </c>
      <c r="D61" s="4">
        <v>0.83673469387755095</v>
      </c>
      <c r="E61" s="4">
        <v>0.65170068027210803</v>
      </c>
      <c r="F61" s="4">
        <v>0.34693877551020402</v>
      </c>
      <c r="G61" s="10">
        <f t="shared" si="2"/>
        <v>-4.3202143343585964E-2</v>
      </c>
      <c r="I61" s="1" t="s">
        <v>21</v>
      </c>
      <c r="J61" s="4">
        <v>0.97777777777777697</v>
      </c>
      <c r="K61" s="4">
        <v>0.78571428571428503</v>
      </c>
      <c r="L61" s="4">
        <v>0.87128712871287095</v>
      </c>
      <c r="M61" s="4">
        <v>0.694902823615694</v>
      </c>
      <c r="N61" s="4">
        <v>0.41573033707865098</v>
      </c>
    </row>
    <row r="62" spans="1:14" thickTop="1" thickBot="1" x14ac:dyDescent="0.3">
      <c r="A62" s="1" t="s">
        <v>22</v>
      </c>
      <c r="B62" s="4">
        <v>0.98181818181818103</v>
      </c>
      <c r="C62" s="4">
        <v>0.96428571428571397</v>
      </c>
      <c r="D62" s="4">
        <v>0.97297297297297303</v>
      </c>
      <c r="E62" s="4">
        <v>0.89825119236883899</v>
      </c>
      <c r="F62" s="4">
        <v>0.79661016949152497</v>
      </c>
      <c r="G62" s="10">
        <f t="shared" si="2"/>
        <v>-6.3990695536765063E-2</v>
      </c>
      <c r="I62" s="1" t="s">
        <v>22</v>
      </c>
      <c r="J62" s="4">
        <v>0.98245614035087703</v>
      </c>
      <c r="K62" s="4">
        <v>1</v>
      </c>
      <c r="L62" s="4">
        <v>0.99115044247787598</v>
      </c>
      <c r="M62" s="4">
        <v>0.96224188790560405</v>
      </c>
      <c r="N62" s="4">
        <v>0.92452830188679203</v>
      </c>
    </row>
    <row r="63" spans="1:14" thickTop="1" thickBot="1" x14ac:dyDescent="0.3">
      <c r="A63" s="1" t="s">
        <v>23</v>
      </c>
      <c r="B63" s="4">
        <v>0.98148148148148096</v>
      </c>
      <c r="C63" s="4">
        <v>0.96363636363636296</v>
      </c>
      <c r="D63" s="4">
        <v>0.97247706422018299</v>
      </c>
      <c r="E63" s="4">
        <v>0.90729116368903895</v>
      </c>
      <c r="F63" s="4">
        <v>0.81467181467181404</v>
      </c>
      <c r="G63" s="10">
        <f t="shared" si="2"/>
        <v>9.0399713201999576E-3</v>
      </c>
      <c r="I63" s="1" t="s">
        <v>23</v>
      </c>
      <c r="J63" s="4">
        <v>0.96428571428571397</v>
      </c>
      <c r="K63" s="4">
        <v>0.98181818181818103</v>
      </c>
      <c r="L63" s="4">
        <v>0.97297297297297303</v>
      </c>
      <c r="M63" s="4">
        <v>0.89825119236883899</v>
      </c>
      <c r="N63" s="4">
        <v>0.79661016949152497</v>
      </c>
    </row>
    <row r="64" spans="1:14" thickTop="1" thickBot="1" x14ac:dyDescent="0.3">
      <c r="A64" s="1" t="s">
        <v>24</v>
      </c>
      <c r="B64" s="4">
        <v>0.79661016949152497</v>
      </c>
      <c r="C64" s="4">
        <v>0.97916666666666596</v>
      </c>
      <c r="D64" s="4">
        <v>0.87850467289719603</v>
      </c>
      <c r="E64" s="4">
        <v>0.62972852692478798</v>
      </c>
      <c r="F64" s="4">
        <v>0.29729729729729698</v>
      </c>
      <c r="G64" s="10">
        <f t="shared" si="2"/>
        <v>-1.4715917519656063E-2</v>
      </c>
      <c r="I64" s="1" t="s">
        <v>24</v>
      </c>
      <c r="J64" s="4">
        <v>0.8</v>
      </c>
      <c r="K64" s="4">
        <v>1</v>
      </c>
      <c r="L64" s="4">
        <v>0.88888888888888795</v>
      </c>
      <c r="M64" s="4">
        <v>0.64444444444444404</v>
      </c>
      <c r="N64" s="4">
        <v>0.33333333333333298</v>
      </c>
    </row>
    <row r="65" spans="1:14" thickTop="1" thickBot="1" x14ac:dyDescent="0.3">
      <c r="A65" s="1" t="s">
        <v>25</v>
      </c>
      <c r="B65" s="4">
        <v>1</v>
      </c>
      <c r="C65" s="4">
        <v>0.86440677966101698</v>
      </c>
      <c r="D65" s="4">
        <v>0.92727272727272703</v>
      </c>
      <c r="E65" s="4">
        <v>0.74141414141414097</v>
      </c>
      <c r="F65" s="4">
        <v>0.499021526418786</v>
      </c>
      <c r="G65" s="10">
        <f t="shared" si="2"/>
        <v>-9.8184856079593041E-2</v>
      </c>
      <c r="I65" s="1" t="s">
        <v>25</v>
      </c>
      <c r="J65" s="4">
        <v>1</v>
      </c>
      <c r="K65" s="4">
        <v>0.93220338983050799</v>
      </c>
      <c r="L65" s="4">
        <v>0.96491228070175405</v>
      </c>
      <c r="M65" s="4">
        <v>0.83959899749373401</v>
      </c>
      <c r="N65" s="4">
        <v>0.682382133995037</v>
      </c>
    </row>
    <row r="66" spans="1:14" thickTop="1" thickBot="1" x14ac:dyDescent="0.3">
      <c r="A66" s="1" t="s">
        <v>26</v>
      </c>
      <c r="B66" s="4">
        <v>0.94736842105263097</v>
      </c>
      <c r="C66" s="4">
        <v>0.94736842105263097</v>
      </c>
      <c r="D66" s="4">
        <v>0.94736842105263097</v>
      </c>
      <c r="E66" s="4">
        <v>0.96257309941520397</v>
      </c>
      <c r="F66" s="4">
        <v>0.92514619883040905</v>
      </c>
      <c r="G66" s="10">
        <f t="shared" si="2"/>
        <v>0</v>
      </c>
      <c r="I66" s="1" t="s">
        <v>26</v>
      </c>
      <c r="J66" s="4">
        <v>0.94736842105263097</v>
      </c>
      <c r="K66" s="4">
        <v>0.94736842105263097</v>
      </c>
      <c r="L66" s="4">
        <v>0.94736842105263097</v>
      </c>
      <c r="M66" s="4">
        <v>0.96257309941520397</v>
      </c>
      <c r="N66" s="4">
        <v>0.92514619883040905</v>
      </c>
    </row>
    <row r="67" spans="1:14" thickTop="1" thickBot="1" x14ac:dyDescent="0.3">
      <c r="A67" s="1" t="s">
        <v>27</v>
      </c>
      <c r="B67" s="4">
        <v>0.8125</v>
      </c>
      <c r="C67" s="4">
        <v>0.68421052631578905</v>
      </c>
      <c r="D67" s="4">
        <v>0.74285714285714199</v>
      </c>
      <c r="E67" s="4">
        <v>0.82304147465437705</v>
      </c>
      <c r="F67" s="4">
        <v>0.64705882352941102</v>
      </c>
      <c r="G67" s="10">
        <f t="shared" si="2"/>
        <v>-8.7247283405616938E-2</v>
      </c>
      <c r="I67" s="1" t="s">
        <v>27</v>
      </c>
      <c r="J67" s="4">
        <v>0.81818181818181801</v>
      </c>
      <c r="K67" s="4">
        <v>0.94736842105263097</v>
      </c>
      <c r="L67" s="4">
        <v>0.87804878048780399</v>
      </c>
      <c r="M67" s="4">
        <v>0.91028875805999399</v>
      </c>
      <c r="N67" s="4">
        <v>0.82102908277404896</v>
      </c>
    </row>
    <row r="68" spans="1:14" thickTop="1" thickBot="1" x14ac:dyDescent="0.3">
      <c r="A68" s="1" t="s">
        <v>28</v>
      </c>
      <c r="B68" s="4">
        <v>0.88888888888888795</v>
      </c>
      <c r="C68" s="4">
        <v>0.88888888888888795</v>
      </c>
      <c r="D68" s="4">
        <v>0.88888888888888795</v>
      </c>
      <c r="E68" s="4">
        <v>0.92270531400966105</v>
      </c>
      <c r="F68" s="4">
        <v>0.84541062801932298</v>
      </c>
      <c r="G68" s="10">
        <f t="shared" si="2"/>
        <v>1.4897765752675096E-2</v>
      </c>
      <c r="I68" s="1" t="s">
        <v>28</v>
      </c>
      <c r="J68" s="4">
        <v>0.80952380952380898</v>
      </c>
      <c r="K68" s="4">
        <v>0.94444444444444398</v>
      </c>
      <c r="L68" s="4">
        <v>0.87179487179487103</v>
      </c>
      <c r="M68" s="4">
        <v>0.90780754825698595</v>
      </c>
      <c r="N68" s="4">
        <v>0.81609195402298795</v>
      </c>
    </row>
    <row r="69" spans="1:14" thickTop="1" thickBot="1" x14ac:dyDescent="0.3">
      <c r="A69" s="1" t="s">
        <v>29</v>
      </c>
      <c r="B69" s="4">
        <v>0.88849942344139698</v>
      </c>
      <c r="C69" s="4">
        <v>0.83135505528396902</v>
      </c>
      <c r="D69" s="4">
        <v>0.84427430962185501</v>
      </c>
      <c r="E69" s="4">
        <v>0.78452430745982804</v>
      </c>
      <c r="F69" s="4">
        <v>0.59365335082558202</v>
      </c>
      <c r="G69" s="10">
        <f t="shared" si="2"/>
        <v>-2.8194259514333964E-2</v>
      </c>
      <c r="I69" s="1" t="s">
        <v>29</v>
      </c>
      <c r="J69" s="4">
        <v>0.88556244250841398</v>
      </c>
      <c r="K69" s="4">
        <v>0.88716695209789298</v>
      </c>
      <c r="L69" s="4">
        <v>0.87045814647041397</v>
      </c>
      <c r="M69" s="4">
        <v>0.812718566974162</v>
      </c>
      <c r="N69" s="4">
        <v>0.64741372780147999</v>
      </c>
    </row>
  </sheetData>
  <mergeCells count="8">
    <mergeCell ref="A25:F25"/>
    <mergeCell ref="A2:F2"/>
    <mergeCell ref="A48:F48"/>
    <mergeCell ref="I2:N2"/>
    <mergeCell ref="A1:F1"/>
    <mergeCell ref="I1:N1"/>
    <mergeCell ref="I25:N25"/>
    <mergeCell ref="I48:N48"/>
  </mergeCells>
  <conditionalFormatting sqref="B1:F1048576">
    <cfRule type="colorScale" priority="4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G1:G23 G26:G46 G49:G69 G145:G1048576">
    <cfRule type="cellIs" dxfId="2" priority="1" operator="lessThan">
      <formula>0</formula>
    </cfRule>
    <cfRule type="cellIs" dxfId="1" priority="2" operator="greaterThan">
      <formula>0</formula>
    </cfRule>
    <cfRule type="cellIs" dxfId="0" priority="3" operator="equal">
      <formula>0</formula>
    </cfRule>
  </conditionalFormatting>
  <conditionalFormatting sqref="J2:N2">
    <cfRule type="colorScale" priority="6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J3:N69">
    <cfRule type="colorScale" priority="5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</vt:lpstr>
      <vt:lpstr>gemma4-26b-q4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Artjoms Kučerjavijs</cp:lastModifiedBy>
  <dcterms:created xsi:type="dcterms:W3CDTF">2015-06-05T18:17:20Z</dcterms:created>
  <dcterms:modified xsi:type="dcterms:W3CDTF">2026-05-12T21:32:32Z</dcterms:modified>
</cp:coreProperties>
</file>