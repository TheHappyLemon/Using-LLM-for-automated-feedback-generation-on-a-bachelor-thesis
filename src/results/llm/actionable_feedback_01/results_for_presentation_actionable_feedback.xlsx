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actionable_feedback_01\"/>
    </mc:Choice>
  </mc:AlternateContent>
  <xr:revisionPtr revIDLastSave="0" documentId="13_ncr:1_{B728AF75-C437-4550-A75B-4C340594E89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Overall" sheetId="4" r:id="rId1"/>
    <sheet name="gemma4-26b-q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2" l="1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50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27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4" i="2"/>
  <c r="G12" i="4"/>
  <c r="G8" i="4"/>
  <c r="G4" i="4"/>
</calcChain>
</file>

<file path=xl/sharedStrings.xml><?xml version="1.0" encoding="utf-8"?>
<sst xmlns="http://schemas.openxmlformats.org/spreadsheetml/2006/main" count="218" uniqueCount="34">
  <si>
    <t>Model</t>
  </si>
  <si>
    <t>Precision_positive</t>
  </si>
  <si>
    <t>Recall_positive</t>
  </si>
  <si>
    <t>F1_macro</t>
  </si>
  <si>
    <t>F1_positive</t>
  </si>
  <si>
    <t>CohenKappa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</si>
  <si>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</si>
  <si>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</si>
  <si>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</si>
  <si>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</si>
  <si>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</si>
  <si>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</si>
  <si>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</si>
  <si>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</si>
  <si>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</si>
  <si>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</si>
  <si>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</si>
  <si>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</si>
  <si>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</si>
  <si>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</si>
  <si>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</si>
  <si>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</si>
  <si>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</si>
  <si>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</si>
  <si>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</si>
  <si>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</si>
  <si>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</si>
  <si>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</si>
  <si>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</si>
  <si>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</si>
  <si>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gemma4-26b-q4</t>
  </si>
  <si>
    <t>Results with actionable feedback (json-repair parsing)</t>
  </si>
  <si>
    <t>OG results without requirement for actionable feedback (json-repair parsing). Data from results for_presentation_initial_testing.xlsx file</t>
  </si>
  <si>
    <t>F1_macro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</si>
</sst>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A5A5A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3" applyNumberFormat="0" applyAlignment="0" applyProtection="0"/>
  </cellStyleXfs>
  <cellXfs count="18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0" xfId="0" applyFont="1" applyBorder="1" applyAlignment="1">
      <alignment horizontal="center"/>
    </xf>
    <xf numFmtId="10" fontId="1" fillId="0" borderId="0" xfId="0" applyNumberFormat="1" applyFont="1" applyBorder="1"/>
    <xf numFmtId="10" fontId="2" fillId="2" borderId="0" xfId="1" applyNumberFormat="1"/>
    <xf numFmtId="10" fontId="3" fillId="3" borderId="0" xfId="2" applyNumberFormat="1"/>
    <xf numFmtId="10" fontId="0" fillId="0" borderId="4" xfId="0" applyNumberFormat="1" applyBorder="1"/>
    <xf numFmtId="10" fontId="1" fillId="0" borderId="4" xfId="0" applyNumberFormat="1" applyFont="1" applyBorder="1"/>
    <xf numFmtId="10" fontId="4" fillId="4" borderId="3" xfId="3" applyNumberFormat="1"/>
  </cellXfs>
  <cellStyles count="4">
    <cellStyle name="Bad" xfId="2" builtinId="27"/>
    <cellStyle name="Check Cell" xfId="3" builtinId="23"/>
    <cellStyle name="Good" xfId="1" builtinId="26"/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8CBD-665F-4514-96E7-546603B512CB}">
  <dimension ref="A1:P19"/>
  <sheetViews>
    <sheetView workbookViewId="0">
      <selection activeCell="I17" sqref="I17"/>
    </sheetView>
  </sheetViews>
  <sheetFormatPr defaultRowHeight="15" x14ac:dyDescent="0.25"/>
  <cols>
    <col min="1" max="1" width="24.85546875" customWidth="1"/>
    <col min="2" max="2" width="18.28515625" style="4" customWidth="1"/>
    <col min="3" max="3" width="15.140625" style="4" customWidth="1"/>
    <col min="4" max="4" width="17.140625" style="4" customWidth="1"/>
    <col min="5" max="5" width="13.7109375" style="4" customWidth="1"/>
    <col min="6" max="7" width="14.140625" style="4" customWidth="1"/>
    <col min="9" max="9" width="17" customWidth="1"/>
    <col min="10" max="10" width="12.7109375" customWidth="1"/>
    <col min="11" max="11" width="23.7109375" customWidth="1"/>
    <col min="12" max="12" width="21.28515625" style="4" customWidth="1"/>
    <col min="13" max="13" width="18" style="4" customWidth="1"/>
    <col min="14" max="14" width="17.28515625" style="4" customWidth="1"/>
    <col min="15" max="16" width="13.42578125" style="4" customWidth="1"/>
    <col min="19" max="19" width="23.5703125" customWidth="1"/>
    <col min="20" max="20" width="10.85546875" customWidth="1"/>
    <col min="21" max="21" width="11.7109375" customWidth="1"/>
    <col min="22" max="22" width="12.28515625" customWidth="1"/>
  </cols>
  <sheetData>
    <row r="1" spans="1:16" ht="36" customHeight="1" x14ac:dyDescent="0.25">
      <c r="A1" s="8" t="s">
        <v>31</v>
      </c>
      <c r="B1" s="8"/>
      <c r="C1" s="8"/>
      <c r="D1" s="8"/>
      <c r="E1" s="8"/>
      <c r="F1" s="8"/>
      <c r="G1" s="11"/>
      <c r="I1" s="10" t="s">
        <v>32</v>
      </c>
      <c r="J1" s="10"/>
      <c r="K1" s="10"/>
      <c r="L1" s="10"/>
      <c r="M1" s="10"/>
      <c r="N1" s="10"/>
      <c r="O1"/>
      <c r="P1"/>
    </row>
    <row r="2" spans="1:16" x14ac:dyDescent="0.25">
      <c r="A2" s="7" t="s">
        <v>8</v>
      </c>
      <c r="B2" s="7"/>
      <c r="C2" s="7"/>
      <c r="D2" s="7"/>
      <c r="E2" s="7"/>
      <c r="F2" s="7"/>
      <c r="G2" s="11"/>
      <c r="I2" s="7" t="s">
        <v>8</v>
      </c>
      <c r="J2" s="7"/>
      <c r="K2" s="7"/>
      <c r="L2" s="7"/>
      <c r="M2" s="7"/>
      <c r="N2" s="7"/>
      <c r="O2"/>
      <c r="P2"/>
    </row>
    <row r="3" spans="1:16" x14ac:dyDescent="0.25">
      <c r="A3" s="6" t="s">
        <v>0</v>
      </c>
      <c r="B3" s="5" t="s">
        <v>1</v>
      </c>
      <c r="C3" s="5" t="s">
        <v>2</v>
      </c>
      <c r="D3" s="5" t="s">
        <v>4</v>
      </c>
      <c r="E3" s="5" t="s">
        <v>3</v>
      </c>
      <c r="F3" s="5" t="s">
        <v>5</v>
      </c>
      <c r="G3" s="12" t="s">
        <v>33</v>
      </c>
      <c r="I3" s="6" t="s">
        <v>0</v>
      </c>
      <c r="J3" s="5" t="s">
        <v>1</v>
      </c>
      <c r="K3" s="5" t="s">
        <v>2</v>
      </c>
      <c r="L3" s="5" t="s">
        <v>4</v>
      </c>
      <c r="M3" s="5" t="s">
        <v>3</v>
      </c>
      <c r="N3" s="5" t="s">
        <v>5</v>
      </c>
      <c r="O3"/>
      <c r="P3"/>
    </row>
    <row r="4" spans="1:16" x14ac:dyDescent="0.25">
      <c r="A4" s="6" t="s">
        <v>30</v>
      </c>
      <c r="B4" s="4">
        <v>0.87700534759358195</v>
      </c>
      <c r="C4" s="4">
        <v>0.90109890109890101</v>
      </c>
      <c r="D4" s="4">
        <v>0.88888888888888795</v>
      </c>
      <c r="E4" s="4">
        <v>0.85867038586703803</v>
      </c>
      <c r="F4" s="4">
        <v>0.71742087603155802</v>
      </c>
      <c r="G4" s="14">
        <f>E4-M4</f>
        <v>-1.4080728968007938E-2</v>
      </c>
      <c r="I4" s="6" t="s">
        <v>30</v>
      </c>
      <c r="J4" s="4">
        <v>0.86759142496847397</v>
      </c>
      <c r="K4" s="4">
        <v>0.94505494505494503</v>
      </c>
      <c r="L4" s="3">
        <v>0.90466798159105799</v>
      </c>
      <c r="M4" s="3">
        <v>0.87275111483504597</v>
      </c>
      <c r="N4" s="3">
        <v>0.74627587318398403</v>
      </c>
      <c r="O4"/>
      <c r="P4"/>
    </row>
    <row r="5" spans="1:16" x14ac:dyDescent="0.25">
      <c r="J5" s="4"/>
      <c r="K5" s="4"/>
      <c r="O5"/>
      <c r="P5"/>
    </row>
    <row r="6" spans="1:16" x14ac:dyDescent="0.25">
      <c r="A6" s="7" t="s">
        <v>7</v>
      </c>
      <c r="B6" s="7"/>
      <c r="C6" s="7"/>
      <c r="D6" s="7"/>
      <c r="E6" s="7"/>
      <c r="F6" s="7"/>
      <c r="G6" s="11"/>
      <c r="I6" s="7" t="s">
        <v>7</v>
      </c>
      <c r="J6" s="7"/>
      <c r="K6" s="7"/>
      <c r="L6" s="7"/>
      <c r="M6" s="7"/>
      <c r="N6" s="7"/>
      <c r="O6"/>
      <c r="P6"/>
    </row>
    <row r="7" spans="1:16" x14ac:dyDescent="0.25">
      <c r="A7" s="6" t="s">
        <v>0</v>
      </c>
      <c r="B7" s="5" t="s">
        <v>1</v>
      </c>
      <c r="C7" s="5" t="s">
        <v>2</v>
      </c>
      <c r="D7" s="5" t="s">
        <v>4</v>
      </c>
      <c r="E7" s="5" t="s">
        <v>3</v>
      </c>
      <c r="F7" s="5" t="s">
        <v>5</v>
      </c>
      <c r="G7" s="12"/>
      <c r="I7" s="6" t="s">
        <v>0</v>
      </c>
      <c r="J7" s="5" t="s">
        <v>1</v>
      </c>
      <c r="K7" s="5" t="s">
        <v>2</v>
      </c>
      <c r="L7" s="5" t="s">
        <v>4</v>
      </c>
      <c r="M7" s="5" t="s">
        <v>3</v>
      </c>
      <c r="N7" s="5" t="s">
        <v>5</v>
      </c>
      <c r="O7"/>
      <c r="P7"/>
    </row>
    <row r="8" spans="1:16" x14ac:dyDescent="0.25">
      <c r="A8" s="6" t="s">
        <v>30</v>
      </c>
      <c r="B8" s="4">
        <v>0.69117647058823495</v>
      </c>
      <c r="C8" s="4">
        <v>0.90701754385964894</v>
      </c>
      <c r="D8" s="4">
        <v>0.78452200303490105</v>
      </c>
      <c r="E8" s="4">
        <v>0.76479241982983803</v>
      </c>
      <c r="F8" s="4">
        <v>0.53952168625861296</v>
      </c>
      <c r="G8" s="13">
        <f>E8-M8</f>
        <v>2.6433608084069915E-3</v>
      </c>
      <c r="I8" s="6" t="s">
        <v>30</v>
      </c>
      <c r="J8" s="4">
        <v>0.679697351828499</v>
      </c>
      <c r="K8" s="4">
        <v>0.94561403508771902</v>
      </c>
      <c r="L8" s="3">
        <v>0.79090242112985998</v>
      </c>
      <c r="M8" s="4">
        <v>0.76214905902143104</v>
      </c>
      <c r="N8" s="4">
        <v>0.53999798244729103</v>
      </c>
      <c r="O8"/>
      <c r="P8"/>
    </row>
    <row r="9" spans="1:16" x14ac:dyDescent="0.25">
      <c r="J9" s="4"/>
      <c r="K9" s="4"/>
      <c r="O9"/>
      <c r="P9"/>
    </row>
    <row r="10" spans="1:16" x14ac:dyDescent="0.25">
      <c r="A10" s="7" t="s">
        <v>6</v>
      </c>
      <c r="B10" s="7"/>
      <c r="C10" s="7"/>
      <c r="D10" s="7"/>
      <c r="E10" s="7"/>
      <c r="F10" s="7"/>
      <c r="G10" s="11"/>
      <c r="I10" s="7" t="s">
        <v>6</v>
      </c>
      <c r="J10" s="7"/>
      <c r="K10" s="7"/>
      <c r="L10" s="7"/>
      <c r="M10" s="7"/>
      <c r="N10" s="7"/>
      <c r="O10"/>
      <c r="P10"/>
    </row>
    <row r="11" spans="1:16" x14ac:dyDescent="0.25">
      <c r="A11" s="6" t="s">
        <v>0</v>
      </c>
      <c r="B11" s="5" t="s">
        <v>1</v>
      </c>
      <c r="C11" s="5" t="s">
        <v>2</v>
      </c>
      <c r="D11" s="5" t="s">
        <v>4</v>
      </c>
      <c r="E11" s="5" t="s">
        <v>3</v>
      </c>
      <c r="F11" s="5" t="s">
        <v>5</v>
      </c>
      <c r="G11" s="12"/>
      <c r="I11" s="6" t="s">
        <v>0</v>
      </c>
      <c r="J11" s="5" t="s">
        <v>1</v>
      </c>
      <c r="K11" s="5" t="s">
        <v>2</v>
      </c>
      <c r="L11" s="5" t="s">
        <v>4</v>
      </c>
      <c r="M11" s="5" t="s">
        <v>3</v>
      </c>
      <c r="N11" s="5" t="s">
        <v>5</v>
      </c>
      <c r="O11"/>
      <c r="P11"/>
    </row>
    <row r="12" spans="1:16" x14ac:dyDescent="0.25">
      <c r="A12" s="6" t="s">
        <v>30</v>
      </c>
      <c r="B12" s="4">
        <v>0.89572192513368898</v>
      </c>
      <c r="C12" s="4">
        <v>0.83959899749373401</v>
      </c>
      <c r="D12" s="4">
        <v>0.86675291073738603</v>
      </c>
      <c r="E12" s="4">
        <v>0.81712363369826402</v>
      </c>
      <c r="F12" s="4">
        <v>0.63491360212671599</v>
      </c>
      <c r="G12" s="14">
        <f>E12-M12</f>
        <v>-2.2019106641831931E-2</v>
      </c>
      <c r="I12" s="6" t="s">
        <v>30</v>
      </c>
      <c r="J12" s="4">
        <v>0.89155107187894</v>
      </c>
      <c r="K12" s="4">
        <v>0.88596491228070096</v>
      </c>
      <c r="L12" s="3">
        <v>0.88874921433060905</v>
      </c>
      <c r="M12" s="3">
        <v>0.83914274034009595</v>
      </c>
      <c r="N12" s="3">
        <v>0.67829149153697599</v>
      </c>
      <c r="O12"/>
      <c r="P12"/>
    </row>
    <row r="13" spans="1:16" x14ac:dyDescent="0.25">
      <c r="L13"/>
      <c r="M13"/>
      <c r="N13"/>
      <c r="O13"/>
      <c r="P13"/>
    </row>
    <row r="14" spans="1:16" x14ac:dyDescent="0.25">
      <c r="L14"/>
      <c r="M14"/>
      <c r="N14"/>
      <c r="O14"/>
      <c r="P14"/>
    </row>
    <row r="15" spans="1:16" x14ac:dyDescent="0.25">
      <c r="L15"/>
      <c r="M15"/>
      <c r="N15"/>
      <c r="O15"/>
      <c r="P15"/>
    </row>
    <row r="16" spans="1:16" x14ac:dyDescent="0.25">
      <c r="L16"/>
      <c r="M16"/>
      <c r="N16"/>
      <c r="O16"/>
      <c r="P16"/>
    </row>
    <row r="17" spans="12:16" x14ac:dyDescent="0.25">
      <c r="L17"/>
      <c r="M17"/>
      <c r="N17"/>
      <c r="O17"/>
      <c r="P17"/>
    </row>
    <row r="18" spans="12:16" x14ac:dyDescent="0.25">
      <c r="L18"/>
      <c r="M18"/>
      <c r="N18"/>
      <c r="O18"/>
      <c r="P18"/>
    </row>
    <row r="19" spans="12:16" x14ac:dyDescent="0.25">
      <c r="L19"/>
      <c r="M19"/>
      <c r="N19"/>
      <c r="O19"/>
      <c r="P19"/>
    </row>
  </sheetData>
  <mergeCells count="8">
    <mergeCell ref="A2:F2"/>
    <mergeCell ref="A6:F6"/>
    <mergeCell ref="A10:F10"/>
    <mergeCell ref="A1:F1"/>
    <mergeCell ref="I2:N2"/>
    <mergeCell ref="I6:N6"/>
    <mergeCell ref="I10:N10"/>
    <mergeCell ref="I1:N1"/>
  </mergeCells>
  <conditionalFormatting sqref="B1:F1048576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N3 J5:N7 J9:N11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4:N4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8:N8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2:N12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O69"/>
  <sheetViews>
    <sheetView tabSelected="1" topLeftCell="A32" zoomScaleNormal="100" workbookViewId="0">
      <selection activeCell="J74" sqref="J74"/>
    </sheetView>
  </sheetViews>
  <sheetFormatPr defaultRowHeight="16.5" thickTop="1" thickBottom="1" x14ac:dyDescent="0.3"/>
  <cols>
    <col min="1" max="1" width="23.85546875" style="2" customWidth="1"/>
    <col min="2" max="2" width="19.140625" style="4" customWidth="1"/>
    <col min="3" max="3" width="20.7109375" style="4" customWidth="1"/>
    <col min="4" max="4" width="15.7109375" style="4" customWidth="1"/>
    <col min="5" max="5" width="16.28515625" style="4" customWidth="1"/>
    <col min="6" max="6" width="19.42578125" style="4" customWidth="1"/>
    <col min="7" max="7" width="13.5703125" style="4" customWidth="1"/>
    <col min="8" max="8" width="9.140625" style="17"/>
    <col min="9" max="9" width="18.7109375" style="4" customWidth="1"/>
    <col min="10" max="10" width="23.85546875" style="4" customWidth="1"/>
    <col min="11" max="11" width="20.140625" style="4" customWidth="1"/>
    <col min="12" max="12" width="19" style="4" customWidth="1"/>
    <col min="13" max="13" width="17.28515625" style="4" customWidth="1"/>
    <col min="14" max="14" width="19.28515625" style="4" customWidth="1"/>
    <col min="15" max="15" width="15.42578125" style="4" customWidth="1"/>
  </cols>
  <sheetData>
    <row r="1" spans="1:15" ht="37.5" customHeight="1" thickTop="1" thickBot="1" x14ac:dyDescent="0.3">
      <c r="A1" s="8" t="s">
        <v>31</v>
      </c>
      <c r="B1" s="8"/>
      <c r="C1" s="8"/>
      <c r="D1" s="8"/>
      <c r="E1" s="8"/>
      <c r="F1" s="8"/>
      <c r="I1" s="10" t="s">
        <v>32</v>
      </c>
      <c r="J1" s="10"/>
      <c r="K1" s="10"/>
      <c r="L1" s="10"/>
      <c r="M1" s="10"/>
      <c r="N1" s="10"/>
    </row>
    <row r="2" spans="1:15" thickTop="1" thickBot="1" x14ac:dyDescent="0.3">
      <c r="A2" s="9" t="s">
        <v>8</v>
      </c>
      <c r="B2" s="9"/>
      <c r="C2" s="9"/>
      <c r="D2" s="9"/>
      <c r="E2" s="9"/>
      <c r="F2" s="9"/>
      <c r="G2" s="15"/>
      <c r="I2" s="9" t="s">
        <v>8</v>
      </c>
      <c r="J2" s="9"/>
      <c r="K2" s="9"/>
      <c r="L2" s="9"/>
      <c r="M2" s="9"/>
      <c r="N2" s="9"/>
      <c r="O2" s="3"/>
    </row>
    <row r="3" spans="1:15" thickTop="1" thickBot="1" x14ac:dyDescent="0.3">
      <c r="A3" s="1" t="s">
        <v>9</v>
      </c>
      <c r="B3" s="3" t="s">
        <v>1</v>
      </c>
      <c r="C3" s="3" t="s">
        <v>2</v>
      </c>
      <c r="D3" s="3" t="s">
        <v>4</v>
      </c>
      <c r="E3" s="3" t="s">
        <v>3</v>
      </c>
      <c r="F3" s="3" t="s">
        <v>5</v>
      </c>
      <c r="G3" s="16" t="s">
        <v>33</v>
      </c>
      <c r="I3" s="1" t="s">
        <v>9</v>
      </c>
      <c r="J3" s="3" t="s">
        <v>1</v>
      </c>
      <c r="K3" s="3" t="s">
        <v>2</v>
      </c>
      <c r="L3" s="3" t="s">
        <v>4</v>
      </c>
      <c r="M3" s="3" t="s">
        <v>3</v>
      </c>
      <c r="N3" s="3" t="s">
        <v>5</v>
      </c>
      <c r="O3" s="3"/>
    </row>
    <row r="4" spans="1:15" thickTop="1" thickBot="1" x14ac:dyDescent="0.3">
      <c r="A4" s="1" t="s">
        <v>10</v>
      </c>
      <c r="B4" s="4">
        <v>0.96363636363636296</v>
      </c>
      <c r="C4" s="4">
        <v>1</v>
      </c>
      <c r="D4" s="4">
        <v>0.98148148148148096</v>
      </c>
      <c r="E4" s="4">
        <v>0.94074074074073999</v>
      </c>
      <c r="F4" s="4">
        <v>0.88170055452865004</v>
      </c>
      <c r="G4" s="15">
        <f>E4-M4</f>
        <v>0</v>
      </c>
      <c r="I4" s="1" t="s">
        <v>10</v>
      </c>
      <c r="J4" s="4">
        <v>0.96363636363636296</v>
      </c>
      <c r="K4" s="4">
        <v>1</v>
      </c>
      <c r="L4" s="4">
        <v>0.98148148148148096</v>
      </c>
      <c r="M4" s="4">
        <v>0.94074074074073999</v>
      </c>
      <c r="N4" s="4">
        <v>0.88170055452865004</v>
      </c>
    </row>
    <row r="5" spans="1:15" thickTop="1" thickBot="1" x14ac:dyDescent="0.3">
      <c r="A5" s="1" t="s">
        <v>11</v>
      </c>
      <c r="B5" s="4">
        <v>0.33333333333333298</v>
      </c>
      <c r="C5" s="4">
        <v>0.66666666666666596</v>
      </c>
      <c r="D5" s="4">
        <v>0.44444444444444398</v>
      </c>
      <c r="E5" s="4">
        <v>0.647964796479648</v>
      </c>
      <c r="F5" s="4">
        <v>0.316239316239316</v>
      </c>
      <c r="G5" s="15">
        <f t="shared" ref="G5:G23" si="0">E5-M5</f>
        <v>3.9801531173526028E-2</v>
      </c>
      <c r="I5" s="1" t="s">
        <v>11</v>
      </c>
      <c r="J5" s="4">
        <v>0.28571428571428498</v>
      </c>
      <c r="K5" s="4">
        <v>0.66666666666666596</v>
      </c>
      <c r="L5" s="4">
        <v>0.4</v>
      </c>
      <c r="M5" s="4">
        <v>0.60816326530612197</v>
      </c>
      <c r="N5" s="4">
        <v>0.25291828793774301</v>
      </c>
    </row>
    <row r="6" spans="1:15" thickTop="1" thickBot="1" x14ac:dyDescent="0.3">
      <c r="A6" s="1" t="s">
        <v>12</v>
      </c>
      <c r="B6" s="4">
        <v>0.82352941176470495</v>
      </c>
      <c r="C6" s="4">
        <v>0.77777777777777701</v>
      </c>
      <c r="D6" s="4">
        <v>0.8</v>
      </c>
      <c r="E6" s="4">
        <v>0.86236559139784896</v>
      </c>
      <c r="F6" s="4">
        <v>0.72481572481572398</v>
      </c>
      <c r="G6" s="15">
        <f t="shared" si="0"/>
        <v>4.6097648814116932E-2</v>
      </c>
      <c r="I6" s="1" t="s">
        <v>12</v>
      </c>
      <c r="J6" s="4">
        <v>0.8</v>
      </c>
      <c r="K6" s="4">
        <v>0.66666666666666596</v>
      </c>
      <c r="L6" s="4">
        <v>0.72727272727272696</v>
      </c>
      <c r="M6" s="4">
        <v>0.81626794258373203</v>
      </c>
      <c r="N6" s="4">
        <v>0.63358778625954204</v>
      </c>
    </row>
    <row r="7" spans="1:15" thickTop="1" thickBot="1" x14ac:dyDescent="0.3">
      <c r="A7" s="1" t="s">
        <v>13</v>
      </c>
      <c r="B7" s="4">
        <v>0.83673469387755095</v>
      </c>
      <c r="C7" s="4">
        <v>1</v>
      </c>
      <c r="D7" s="4">
        <v>0.91111111111111098</v>
      </c>
      <c r="E7" s="4">
        <v>0.85029239766081799</v>
      </c>
      <c r="F7" s="4">
        <v>0.70608495981630304</v>
      </c>
      <c r="G7" s="15">
        <f t="shared" si="0"/>
        <v>0</v>
      </c>
      <c r="I7" s="1" t="s">
        <v>13</v>
      </c>
      <c r="J7" s="4">
        <v>0.83673469387755095</v>
      </c>
      <c r="K7" s="4">
        <v>1</v>
      </c>
      <c r="L7" s="4">
        <v>0.91111111111111098</v>
      </c>
      <c r="M7" s="4">
        <v>0.85029239766081799</v>
      </c>
      <c r="N7" s="4">
        <v>0.70608495981630304</v>
      </c>
    </row>
    <row r="8" spans="1:15" thickTop="1" thickBot="1" x14ac:dyDescent="0.3">
      <c r="A8" s="1" t="s">
        <v>14</v>
      </c>
      <c r="B8" s="4">
        <v>0.80769230769230704</v>
      </c>
      <c r="C8" s="4">
        <v>0.75</v>
      </c>
      <c r="D8" s="4">
        <v>0.77777777777777701</v>
      </c>
      <c r="E8" s="4">
        <v>0.80780780780780703</v>
      </c>
      <c r="F8" s="4">
        <v>0.61599999999999999</v>
      </c>
      <c r="G8" s="15">
        <f t="shared" si="0"/>
        <v>-9.8074545133368995E-2</v>
      </c>
      <c r="I8" s="1" t="s">
        <v>14</v>
      </c>
      <c r="J8" s="4">
        <v>0.84375</v>
      </c>
      <c r="K8" s="4">
        <v>0.96428571428571397</v>
      </c>
      <c r="L8" s="4">
        <v>0.9</v>
      </c>
      <c r="M8" s="4">
        <v>0.90588235294117603</v>
      </c>
      <c r="N8" s="4">
        <v>0.8125</v>
      </c>
    </row>
    <row r="9" spans="1:15" thickTop="1" thickBot="1" x14ac:dyDescent="0.3">
      <c r="A9" s="1" t="s">
        <v>15</v>
      </c>
      <c r="B9" s="4">
        <v>0.95454545454545403</v>
      </c>
      <c r="C9" s="4">
        <v>0.82352941176470495</v>
      </c>
      <c r="D9" s="4">
        <v>0.884210526315789</v>
      </c>
      <c r="E9" s="4">
        <v>0.77543859649122804</v>
      </c>
      <c r="F9" s="4">
        <v>0.55778894472361795</v>
      </c>
      <c r="G9" s="15">
        <f t="shared" si="0"/>
        <v>-2.3934444261123011E-2</v>
      </c>
      <c r="I9" s="1" t="s">
        <v>15</v>
      </c>
      <c r="J9" s="4">
        <v>0.9375</v>
      </c>
      <c r="K9" s="4">
        <v>0.88235294117647001</v>
      </c>
      <c r="L9" s="4">
        <v>0.90909090909090895</v>
      </c>
      <c r="M9" s="4">
        <v>0.79937304075235105</v>
      </c>
      <c r="N9" s="4">
        <v>0.6</v>
      </c>
    </row>
    <row r="10" spans="1:15" thickTop="1" thickBot="1" x14ac:dyDescent="0.3">
      <c r="A10" s="1" t="s">
        <v>16</v>
      </c>
      <c r="B10" s="4">
        <v>0.94871794871794801</v>
      </c>
      <c r="C10" s="4">
        <v>0.72549019607843102</v>
      </c>
      <c r="D10" s="4">
        <v>0.82222222222222197</v>
      </c>
      <c r="E10" s="4">
        <v>0.70058479532163698</v>
      </c>
      <c r="F10" s="4">
        <v>0.42536475869809198</v>
      </c>
      <c r="G10" s="15">
        <f t="shared" si="0"/>
        <v>-5.9114829209025999E-2</v>
      </c>
      <c r="I10" s="1" t="s">
        <v>16</v>
      </c>
      <c r="J10" s="4">
        <v>0.95348837209302295</v>
      </c>
      <c r="K10" s="4">
        <v>0.80392156862745101</v>
      </c>
      <c r="L10" s="4">
        <v>0.87234042553191404</v>
      </c>
      <c r="M10" s="4">
        <v>0.75969962453066298</v>
      </c>
      <c r="N10" s="4">
        <v>0.52883435582822003</v>
      </c>
    </row>
    <row r="11" spans="1:15" thickTop="1" thickBot="1" x14ac:dyDescent="0.3">
      <c r="A11" s="1" t="s">
        <v>17</v>
      </c>
      <c r="B11" s="4">
        <v>0.98076923076922995</v>
      </c>
      <c r="C11" s="4">
        <v>0.98076923076922995</v>
      </c>
      <c r="D11" s="4">
        <v>0.98076923076922995</v>
      </c>
      <c r="E11" s="4">
        <v>0.94871794871794801</v>
      </c>
      <c r="F11" s="4">
        <v>0.89743589743589702</v>
      </c>
      <c r="G11" s="15">
        <f t="shared" si="0"/>
        <v>0</v>
      </c>
      <c r="I11" s="1" t="s">
        <v>17</v>
      </c>
      <c r="J11" s="4">
        <v>0.98076923076922995</v>
      </c>
      <c r="K11" s="4">
        <v>0.98076923076922995</v>
      </c>
      <c r="L11" s="4">
        <v>0.98076923076922995</v>
      </c>
      <c r="M11" s="4">
        <v>0.94871794871794801</v>
      </c>
      <c r="N11" s="4">
        <v>0.89743589743589702</v>
      </c>
    </row>
    <row r="12" spans="1:15" thickTop="1" thickBot="1" x14ac:dyDescent="0.3">
      <c r="A12" s="1" t="s">
        <v>18</v>
      </c>
      <c r="B12" s="4">
        <v>0.70588235294117596</v>
      </c>
      <c r="C12" s="4">
        <v>0.63157894736842102</v>
      </c>
      <c r="D12" s="4">
        <v>0.66666666666666596</v>
      </c>
      <c r="E12" s="4">
        <v>0.61904761904761896</v>
      </c>
      <c r="F12" s="4">
        <v>0.24110671936758801</v>
      </c>
      <c r="G12" s="15">
        <f t="shared" si="0"/>
        <v>-6.1540770760628027E-2</v>
      </c>
      <c r="I12" s="1" t="s">
        <v>18</v>
      </c>
      <c r="J12" s="4">
        <v>0.72093023255813904</v>
      </c>
      <c r="K12" s="4">
        <v>0.81578947368420995</v>
      </c>
      <c r="L12" s="4">
        <v>0.76543209876543195</v>
      </c>
      <c r="M12" s="4">
        <v>0.68058838980824699</v>
      </c>
      <c r="N12" s="4">
        <v>0.36534446764091799</v>
      </c>
    </row>
    <row r="13" spans="1:15" thickTop="1" thickBot="1" x14ac:dyDescent="0.3">
      <c r="A13" s="1" t="s">
        <v>19</v>
      </c>
      <c r="B13" s="4">
        <v>1</v>
      </c>
      <c r="C13" s="4">
        <v>1</v>
      </c>
      <c r="D13" s="4">
        <v>1</v>
      </c>
      <c r="E13" s="4">
        <v>1</v>
      </c>
      <c r="F13" s="4">
        <v>1</v>
      </c>
      <c r="G13" s="15">
        <f t="shared" si="0"/>
        <v>0</v>
      </c>
      <c r="I13" s="1" t="s">
        <v>19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</row>
    <row r="14" spans="1:15" thickTop="1" thickBot="1" x14ac:dyDescent="0.3">
      <c r="A14" s="1" t="s">
        <v>20</v>
      </c>
      <c r="B14" s="4">
        <v>1</v>
      </c>
      <c r="C14" s="4">
        <v>1</v>
      </c>
      <c r="D14" s="4">
        <v>1</v>
      </c>
      <c r="E14" s="4">
        <v>1</v>
      </c>
      <c r="F14" s="4">
        <v>1</v>
      </c>
      <c r="G14" s="15">
        <f t="shared" si="0"/>
        <v>0</v>
      </c>
      <c r="I14" s="1" t="s">
        <v>20</v>
      </c>
      <c r="J14" s="4">
        <v>1</v>
      </c>
      <c r="K14" s="4">
        <v>1</v>
      </c>
      <c r="L14" s="4">
        <v>1</v>
      </c>
      <c r="M14" s="4">
        <v>1</v>
      </c>
      <c r="N14" s="4">
        <v>1</v>
      </c>
    </row>
    <row r="15" spans="1:15" thickTop="1" thickBot="1" x14ac:dyDescent="0.3">
      <c r="A15" s="1" t="s">
        <v>21</v>
      </c>
      <c r="B15" s="4">
        <v>0.52380952380952295</v>
      </c>
      <c r="C15" s="4">
        <v>0.81481481481481399</v>
      </c>
      <c r="D15" s="4">
        <v>0.63768115942028902</v>
      </c>
      <c r="E15" s="4">
        <v>0.606976172930483</v>
      </c>
      <c r="F15" s="4">
        <v>0.25512104283053999</v>
      </c>
      <c r="G15" s="15">
        <f t="shared" si="0"/>
        <v>-1.2071446117135953E-2</v>
      </c>
      <c r="I15" s="1" t="s">
        <v>21</v>
      </c>
      <c r="J15" s="4">
        <v>0.53333333333333299</v>
      </c>
      <c r="K15" s="4">
        <v>0.88888888888888795</v>
      </c>
      <c r="L15" s="4">
        <v>0.66666666666666596</v>
      </c>
      <c r="M15" s="4">
        <v>0.61904761904761896</v>
      </c>
      <c r="N15" s="4">
        <v>0.29476584022038499</v>
      </c>
    </row>
    <row r="16" spans="1:15" thickTop="1" thickBot="1" x14ac:dyDescent="0.3">
      <c r="A16" s="1" t="s">
        <v>22</v>
      </c>
      <c r="B16" s="4">
        <v>1</v>
      </c>
      <c r="C16" s="4">
        <v>0.96491228070175405</v>
      </c>
      <c r="D16" s="4">
        <v>0.98214285714285698</v>
      </c>
      <c r="E16" s="4">
        <v>0.92857142857142805</v>
      </c>
      <c r="F16" s="4">
        <v>0.85746102449888595</v>
      </c>
      <c r="G16" s="15">
        <f t="shared" si="0"/>
        <v>-7.1428571428571952E-2</v>
      </c>
      <c r="I16" s="1" t="s">
        <v>22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</row>
    <row r="17" spans="1:14" thickTop="1" thickBot="1" x14ac:dyDescent="0.3">
      <c r="A17" s="1" t="s">
        <v>23</v>
      </c>
      <c r="B17" s="4">
        <v>0.98148148148148096</v>
      </c>
      <c r="C17" s="4">
        <v>0.96363636363636296</v>
      </c>
      <c r="D17" s="4">
        <v>0.97247706422018299</v>
      </c>
      <c r="E17" s="4">
        <v>0.90729116368903895</v>
      </c>
      <c r="F17" s="4">
        <v>0.81467181467181404</v>
      </c>
      <c r="G17" s="15">
        <f t="shared" si="0"/>
        <v>9.0399713201999576E-3</v>
      </c>
      <c r="I17" s="1" t="s">
        <v>23</v>
      </c>
      <c r="J17" s="4">
        <v>0.96428571428571397</v>
      </c>
      <c r="K17" s="4">
        <v>0.98181818181818103</v>
      </c>
      <c r="L17" s="4">
        <v>0.97297297297297303</v>
      </c>
      <c r="M17" s="4">
        <v>0.89825119236883899</v>
      </c>
      <c r="N17" s="4">
        <v>0.79661016949152497</v>
      </c>
    </row>
    <row r="18" spans="1:14" thickTop="1" thickBot="1" x14ac:dyDescent="0.3">
      <c r="A18" s="1" t="s">
        <v>24</v>
      </c>
      <c r="B18" s="4">
        <v>0.88135593220338904</v>
      </c>
      <c r="C18" s="4">
        <v>0.98113207547169801</v>
      </c>
      <c r="D18" s="4">
        <v>0.92857142857142805</v>
      </c>
      <c r="E18" s="4">
        <v>0.71428571428571397</v>
      </c>
      <c r="F18" s="4">
        <v>0.439824945295404</v>
      </c>
      <c r="G18" s="15">
        <f t="shared" si="0"/>
        <v>-2.1407501053519074E-2</v>
      </c>
      <c r="I18" s="1" t="s">
        <v>24</v>
      </c>
      <c r="J18" s="4">
        <v>0.88333333333333297</v>
      </c>
      <c r="K18" s="4">
        <v>1</v>
      </c>
      <c r="L18" s="4">
        <v>0.93805309734513198</v>
      </c>
      <c r="M18" s="4">
        <v>0.73569321533923304</v>
      </c>
      <c r="N18" s="4">
        <v>0.48623853211009099</v>
      </c>
    </row>
    <row r="19" spans="1:14" thickTop="1" thickBot="1" x14ac:dyDescent="0.3">
      <c r="A19" s="1" t="s">
        <v>25</v>
      </c>
      <c r="B19" s="4">
        <v>0.76470588235294101</v>
      </c>
      <c r="C19" s="4">
        <v>0.90697674418604601</v>
      </c>
      <c r="D19" s="4">
        <v>0.82978723404255295</v>
      </c>
      <c r="E19" s="4">
        <v>0.67959949937421704</v>
      </c>
      <c r="F19" s="4">
        <v>0.371779141104294</v>
      </c>
      <c r="G19" s="15">
        <f t="shared" si="0"/>
        <v>2.7898819102109007E-2</v>
      </c>
      <c r="I19" s="1" t="s">
        <v>25</v>
      </c>
      <c r="J19" s="4">
        <v>0.74545454545454504</v>
      </c>
      <c r="K19" s="4">
        <v>0.95348837209302295</v>
      </c>
      <c r="L19" s="4">
        <v>0.83673469387755095</v>
      </c>
      <c r="M19" s="4">
        <v>0.65170068027210803</v>
      </c>
      <c r="N19" s="4">
        <v>0.33592736705577098</v>
      </c>
    </row>
    <row r="20" spans="1:14" thickTop="1" thickBot="1" x14ac:dyDescent="0.3">
      <c r="A20" s="1" t="s">
        <v>26</v>
      </c>
      <c r="B20" s="4">
        <v>0.94736842105263097</v>
      </c>
      <c r="C20" s="4">
        <v>1</v>
      </c>
      <c r="D20" s="4">
        <v>0.97297297297297303</v>
      </c>
      <c r="E20" s="4">
        <v>0.98099198099198104</v>
      </c>
      <c r="F20" s="4">
        <v>0.96199524940617498</v>
      </c>
      <c r="G20" s="15">
        <f t="shared" si="0"/>
        <v>0</v>
      </c>
      <c r="I20" s="1" t="s">
        <v>26</v>
      </c>
      <c r="J20" s="4">
        <v>0.94736842105263097</v>
      </c>
      <c r="K20" s="4">
        <v>1</v>
      </c>
      <c r="L20" s="4">
        <v>0.97297297297297303</v>
      </c>
      <c r="M20" s="4">
        <v>0.98099198099198104</v>
      </c>
      <c r="N20" s="4">
        <v>0.96199524940617498</v>
      </c>
    </row>
    <row r="21" spans="1:14" thickTop="1" thickBot="1" x14ac:dyDescent="0.3">
      <c r="A21" s="1" t="s">
        <v>27</v>
      </c>
      <c r="B21" s="4">
        <v>0.75</v>
      </c>
      <c r="C21" s="4">
        <v>0.66666666666666596</v>
      </c>
      <c r="D21" s="4">
        <v>0.70588235294117596</v>
      </c>
      <c r="E21" s="4">
        <v>0.79974968710888605</v>
      </c>
      <c r="F21" s="4">
        <v>0.6</v>
      </c>
      <c r="G21" s="15">
        <f t="shared" si="0"/>
        <v>-0.12752304016384097</v>
      </c>
      <c r="I21" s="1" t="s">
        <v>27</v>
      </c>
      <c r="J21" s="4">
        <v>0.81818181818181801</v>
      </c>
      <c r="K21" s="4">
        <v>1</v>
      </c>
      <c r="L21" s="4">
        <v>0.9</v>
      </c>
      <c r="M21" s="4">
        <v>0.92727272727272703</v>
      </c>
      <c r="N21" s="4">
        <v>0.855203619909502</v>
      </c>
    </row>
    <row r="22" spans="1:14" thickTop="1" thickBot="1" x14ac:dyDescent="0.3">
      <c r="A22" s="1" t="s">
        <v>28</v>
      </c>
      <c r="B22" s="4">
        <v>0.88888888888888795</v>
      </c>
      <c r="C22" s="4">
        <v>1</v>
      </c>
      <c r="D22" s="4">
        <v>0.94117647058823495</v>
      </c>
      <c r="E22" s="4">
        <v>0.95994993742177703</v>
      </c>
      <c r="F22" s="4">
        <v>0.92</v>
      </c>
      <c r="G22" s="15">
        <f t="shared" si="0"/>
        <v>5.4990032461872063E-2</v>
      </c>
      <c r="I22" s="1" t="s">
        <v>28</v>
      </c>
      <c r="J22" s="4">
        <v>0.76190476190476097</v>
      </c>
      <c r="K22" s="4">
        <v>1</v>
      </c>
      <c r="L22" s="4">
        <v>0.86486486486486402</v>
      </c>
      <c r="M22" s="4">
        <v>0.90495990495990497</v>
      </c>
      <c r="N22" s="4">
        <v>0.81132075471698095</v>
      </c>
    </row>
    <row r="23" spans="1:14" thickTop="1" thickBot="1" x14ac:dyDescent="0.3">
      <c r="A23" s="1" t="s">
        <v>29</v>
      </c>
      <c r="B23" s="4">
        <v>0.84697111721404805</v>
      </c>
      <c r="C23" s="4">
        <v>0.87652374610013495</v>
      </c>
      <c r="D23" s="4">
        <v>0.85470394740465305</v>
      </c>
      <c r="E23" s="4">
        <v>0.82791451989678</v>
      </c>
      <c r="F23" s="4">
        <v>0.66249421544380505</v>
      </c>
      <c r="G23" s="15">
        <f t="shared" si="0"/>
        <v>-1.5645639223968E-2</v>
      </c>
      <c r="I23" s="1" t="s">
        <v>29</v>
      </c>
      <c r="J23" s="4">
        <v>0.84086237401024899</v>
      </c>
      <c r="K23" s="4">
        <v>0.92656040550928898</v>
      </c>
      <c r="L23" s="4">
        <v>0.873671750143314</v>
      </c>
      <c r="M23" s="4">
        <v>0.843560159120748</v>
      </c>
      <c r="N23" s="4">
        <v>0.69581409696619501</v>
      </c>
    </row>
    <row r="24" spans="1:14" thickTop="1" thickBot="1" x14ac:dyDescent="0.3">
      <c r="G24"/>
      <c r="I24" s="2"/>
    </row>
    <row r="25" spans="1:14" thickTop="1" thickBot="1" x14ac:dyDescent="0.3">
      <c r="A25" s="9" t="s">
        <v>7</v>
      </c>
      <c r="B25" s="9"/>
      <c r="C25" s="9"/>
      <c r="D25" s="9"/>
      <c r="E25" s="9"/>
      <c r="F25" s="9"/>
      <c r="G25"/>
      <c r="I25" s="9" t="s">
        <v>7</v>
      </c>
      <c r="J25" s="9"/>
      <c r="K25" s="9"/>
      <c r="L25" s="9"/>
      <c r="M25" s="9"/>
      <c r="N25" s="9"/>
    </row>
    <row r="26" spans="1:14" thickTop="1" thickBot="1" x14ac:dyDescent="0.3">
      <c r="A26" s="1" t="s">
        <v>9</v>
      </c>
      <c r="B26" s="3" t="s">
        <v>1</v>
      </c>
      <c r="C26" s="3" t="s">
        <v>2</v>
      </c>
      <c r="D26" s="3" t="s">
        <v>4</v>
      </c>
      <c r="E26" s="3" t="s">
        <v>3</v>
      </c>
      <c r="F26" s="3" t="s">
        <v>5</v>
      </c>
      <c r="G26" s="16" t="s">
        <v>33</v>
      </c>
      <c r="I26" s="1" t="s">
        <v>9</v>
      </c>
      <c r="J26" s="3" t="s">
        <v>1</v>
      </c>
      <c r="K26" s="3" t="s">
        <v>2</v>
      </c>
      <c r="L26" s="3" t="s">
        <v>4</v>
      </c>
      <c r="M26" s="3" t="s">
        <v>3</v>
      </c>
      <c r="N26" s="3" t="s">
        <v>5</v>
      </c>
    </row>
    <row r="27" spans="1:14" thickTop="1" thickBot="1" x14ac:dyDescent="0.3">
      <c r="A27" s="1" t="s">
        <v>10</v>
      </c>
      <c r="B27" s="4">
        <v>0.74545454545454504</v>
      </c>
      <c r="C27" s="4">
        <v>1</v>
      </c>
      <c r="D27" s="4">
        <v>0.85416666666666596</v>
      </c>
      <c r="E27" s="4">
        <v>0.70833333333333304</v>
      </c>
      <c r="F27" s="4">
        <v>0.45165238678090502</v>
      </c>
      <c r="G27" s="15">
        <f>E27-M27</f>
        <v>0</v>
      </c>
      <c r="I27" s="1" t="s">
        <v>10</v>
      </c>
      <c r="J27" s="4">
        <v>0.74545454545454504</v>
      </c>
      <c r="K27" s="4">
        <v>1</v>
      </c>
      <c r="L27" s="4">
        <v>0.85416666666666596</v>
      </c>
      <c r="M27" s="4">
        <v>0.70833333333333304</v>
      </c>
      <c r="N27" s="4">
        <v>0.45165238678090502</v>
      </c>
    </row>
    <row r="28" spans="1:14" thickTop="1" thickBot="1" x14ac:dyDescent="0.3">
      <c r="A28" s="1" t="s">
        <v>11</v>
      </c>
      <c r="B28" s="4">
        <v>0.77777777777777701</v>
      </c>
      <c r="C28" s="4">
        <v>0.60869565217391297</v>
      </c>
      <c r="D28" s="4">
        <v>0.68292682926829196</v>
      </c>
      <c r="E28" s="4">
        <v>0.76675077095598498</v>
      </c>
      <c r="F28" s="4">
        <v>0.53674832962137997</v>
      </c>
      <c r="G28" s="15">
        <f t="shared" ref="G28:G46" si="1">E28-M28</f>
        <v>-2.5457021251807044E-2</v>
      </c>
      <c r="I28" s="1" t="s">
        <v>11</v>
      </c>
      <c r="J28" s="4">
        <v>0.76190476190476097</v>
      </c>
      <c r="K28" s="4">
        <v>0.69565217391304301</v>
      </c>
      <c r="L28" s="4">
        <v>0.72727272727272696</v>
      </c>
      <c r="M28" s="4">
        <v>0.79220779220779203</v>
      </c>
      <c r="N28" s="4">
        <v>0.584864864864864</v>
      </c>
    </row>
    <row r="29" spans="1:14" thickTop="1" thickBot="1" x14ac:dyDescent="0.3">
      <c r="A29" s="1" t="s">
        <v>12</v>
      </c>
      <c r="B29" s="4">
        <v>0.58823529411764697</v>
      </c>
      <c r="C29" s="4">
        <v>0.52631578947368396</v>
      </c>
      <c r="D29" s="4">
        <v>0.55555555555555503</v>
      </c>
      <c r="E29" s="4">
        <v>0.69082125603864697</v>
      </c>
      <c r="F29" s="4">
        <v>0.38238841978287003</v>
      </c>
      <c r="G29" s="15">
        <f t="shared" si="1"/>
        <v>-2.882830591379304E-2</v>
      </c>
      <c r="I29" s="1" t="s">
        <v>12</v>
      </c>
      <c r="J29" s="4">
        <v>0.66666666666666596</v>
      </c>
      <c r="K29" s="4">
        <v>0.52631578947368396</v>
      </c>
      <c r="L29" s="4">
        <v>0.58823529411764697</v>
      </c>
      <c r="M29" s="4">
        <v>0.71964956195244001</v>
      </c>
      <c r="N29" s="4">
        <v>0.44209215442092098</v>
      </c>
    </row>
    <row r="30" spans="1:14" thickTop="1" thickBot="1" x14ac:dyDescent="0.3">
      <c r="A30" s="1" t="s">
        <v>13</v>
      </c>
      <c r="B30" s="4">
        <v>0.183673469387755</v>
      </c>
      <c r="C30" s="4">
        <v>0.81818181818181801</v>
      </c>
      <c r="D30" s="4">
        <v>0.3</v>
      </c>
      <c r="E30" s="4">
        <v>0.34117647058823503</v>
      </c>
      <c r="F30" s="4">
        <v>2.67921795800144E-2</v>
      </c>
      <c r="G30" s="15">
        <f t="shared" si="1"/>
        <v>0</v>
      </c>
      <c r="I30" s="1" t="s">
        <v>13</v>
      </c>
      <c r="J30" s="4">
        <v>0.183673469387755</v>
      </c>
      <c r="K30" s="4">
        <v>0.81818181818181801</v>
      </c>
      <c r="L30" s="4">
        <v>0.3</v>
      </c>
      <c r="M30" s="4">
        <v>0.34117647058823503</v>
      </c>
      <c r="N30" s="4">
        <v>2.67921795800144E-2</v>
      </c>
    </row>
    <row r="31" spans="1:14" thickTop="1" thickBot="1" x14ac:dyDescent="0.3">
      <c r="A31" s="1" t="s">
        <v>14</v>
      </c>
      <c r="B31" s="4">
        <v>0.65384615384615297</v>
      </c>
      <c r="C31" s="4">
        <v>0.89473684210526305</v>
      </c>
      <c r="D31" s="4">
        <v>0.75555555555555498</v>
      </c>
      <c r="E31" s="4">
        <v>0.81151271753681398</v>
      </c>
      <c r="F31" s="4">
        <v>0.62790697674418605</v>
      </c>
      <c r="G31" s="15">
        <f t="shared" si="1"/>
        <v>5.5974138468823931E-2</v>
      </c>
      <c r="I31" s="1" t="s">
        <v>14</v>
      </c>
      <c r="J31" s="4">
        <v>0.5625</v>
      </c>
      <c r="K31" s="4">
        <v>0.94736842105263097</v>
      </c>
      <c r="L31" s="4">
        <v>0.70588235294117596</v>
      </c>
      <c r="M31" s="4">
        <v>0.75553857906799005</v>
      </c>
      <c r="N31" s="4">
        <v>0.53125</v>
      </c>
    </row>
    <row r="32" spans="1:14" thickTop="1" thickBot="1" x14ac:dyDescent="0.3">
      <c r="A32" s="1" t="s">
        <v>15</v>
      </c>
      <c r="B32" s="4">
        <v>0.63636363636363602</v>
      </c>
      <c r="C32" s="4">
        <v>0.90322580645161199</v>
      </c>
      <c r="D32" s="4">
        <v>0.74666666666666603</v>
      </c>
      <c r="E32" s="4">
        <v>0.69408805031446497</v>
      </c>
      <c r="F32" s="4">
        <v>0.41312741312741302</v>
      </c>
      <c r="G32" s="15">
        <f t="shared" si="1"/>
        <v>4.1285157005242934E-2</v>
      </c>
      <c r="I32" s="1" t="s">
        <v>15</v>
      </c>
      <c r="J32" s="4">
        <v>0.60416666666666596</v>
      </c>
      <c r="K32" s="4">
        <v>0.93548387096774099</v>
      </c>
      <c r="L32" s="4">
        <v>0.734177215189873</v>
      </c>
      <c r="M32" s="4">
        <v>0.65280289330922203</v>
      </c>
      <c r="N32" s="4">
        <v>0.35384615384615298</v>
      </c>
    </row>
    <row r="33" spans="1:14" thickTop="1" thickBot="1" x14ac:dyDescent="0.3">
      <c r="A33" s="1" t="s">
        <v>16</v>
      </c>
      <c r="B33" s="4">
        <v>0.56410256410256399</v>
      </c>
      <c r="C33" s="4">
        <v>0.84615384615384603</v>
      </c>
      <c r="D33" s="4">
        <v>0.67692307692307696</v>
      </c>
      <c r="E33" s="4">
        <v>0.67179487179487096</v>
      </c>
      <c r="F33" s="4">
        <v>0.36960600375234498</v>
      </c>
      <c r="G33" s="15">
        <f t="shared" si="1"/>
        <v>6.4818698864387958E-2</v>
      </c>
      <c r="I33" s="1" t="s">
        <v>16</v>
      </c>
      <c r="J33" s="4">
        <v>0.51162790697674398</v>
      </c>
      <c r="K33" s="4">
        <v>0.84615384615384603</v>
      </c>
      <c r="L33" s="4">
        <v>0.63768115942028902</v>
      </c>
      <c r="M33" s="4">
        <v>0.606976172930483</v>
      </c>
      <c r="N33" s="4">
        <v>0.26605504587155898</v>
      </c>
    </row>
    <row r="34" spans="1:14" thickTop="1" thickBot="1" x14ac:dyDescent="0.3">
      <c r="A34" s="1" t="s">
        <v>17</v>
      </c>
      <c r="B34" s="4">
        <v>0.67307692307692302</v>
      </c>
      <c r="C34" s="4">
        <v>1</v>
      </c>
      <c r="D34" s="4">
        <v>0.80459770114942497</v>
      </c>
      <c r="E34" s="4">
        <v>0.69498177740398004</v>
      </c>
      <c r="F34" s="4">
        <v>0.43568464730290402</v>
      </c>
      <c r="G34" s="15">
        <f t="shared" si="1"/>
        <v>0</v>
      </c>
      <c r="I34" s="1" t="s">
        <v>17</v>
      </c>
      <c r="J34" s="4">
        <v>0.67307692307692302</v>
      </c>
      <c r="K34" s="4">
        <v>1</v>
      </c>
      <c r="L34" s="4">
        <v>0.80459770114942497</v>
      </c>
      <c r="M34" s="4">
        <v>0.69498177740398004</v>
      </c>
      <c r="N34" s="4">
        <v>0.43568464730290402</v>
      </c>
    </row>
    <row r="35" spans="1:14" thickTop="1" thickBot="1" x14ac:dyDescent="0.3">
      <c r="A35" s="1" t="s">
        <v>18</v>
      </c>
      <c r="B35" s="4">
        <v>0.55882352941176405</v>
      </c>
      <c r="C35" s="4">
        <v>0.73076923076922995</v>
      </c>
      <c r="D35" s="4">
        <v>0.63333333333333297</v>
      </c>
      <c r="E35" s="4">
        <v>0.65490196078431295</v>
      </c>
      <c r="F35" s="4">
        <v>0.32046332046331999</v>
      </c>
      <c r="G35" s="15">
        <f t="shared" si="1"/>
        <v>1.6483881688267976E-2</v>
      </c>
      <c r="I35" s="1" t="s">
        <v>18</v>
      </c>
      <c r="J35" s="4">
        <v>0.53488372093023195</v>
      </c>
      <c r="K35" s="4">
        <v>0.88461538461538403</v>
      </c>
      <c r="L35" s="4">
        <v>0.66666666666666596</v>
      </c>
      <c r="M35" s="4">
        <v>0.63841807909604498</v>
      </c>
      <c r="N35" s="4">
        <v>0.32477064220183399</v>
      </c>
    </row>
    <row r="36" spans="1:14" thickTop="1" thickBot="1" x14ac:dyDescent="0.3">
      <c r="A36" s="1" t="s">
        <v>19</v>
      </c>
      <c r="B36" s="4">
        <v>1</v>
      </c>
      <c r="C36" s="4">
        <v>1</v>
      </c>
      <c r="D36" s="4">
        <v>1</v>
      </c>
      <c r="E36" s="4">
        <v>1</v>
      </c>
      <c r="F36" s="4">
        <v>1</v>
      </c>
      <c r="G36" s="15">
        <f t="shared" si="1"/>
        <v>0</v>
      </c>
      <c r="I36" s="1" t="s">
        <v>19</v>
      </c>
      <c r="J36" s="4">
        <v>1</v>
      </c>
      <c r="K36" s="4">
        <v>1</v>
      </c>
      <c r="L36" s="4">
        <v>1</v>
      </c>
      <c r="M36" s="4">
        <v>1</v>
      </c>
      <c r="N36" s="4">
        <v>1</v>
      </c>
    </row>
    <row r="37" spans="1:14" thickTop="1" thickBot="1" x14ac:dyDescent="0.3">
      <c r="A37" s="1" t="s">
        <v>20</v>
      </c>
      <c r="B37" s="4">
        <v>1</v>
      </c>
      <c r="C37" s="4">
        <v>1</v>
      </c>
      <c r="D37" s="4">
        <v>1</v>
      </c>
      <c r="E37" s="4">
        <v>1</v>
      </c>
      <c r="F37" s="4">
        <v>1</v>
      </c>
      <c r="G37" s="15">
        <f t="shared" si="1"/>
        <v>0</v>
      </c>
      <c r="I37" s="1" t="s">
        <v>20</v>
      </c>
      <c r="J37" s="4">
        <v>1</v>
      </c>
      <c r="K37" s="4">
        <v>1</v>
      </c>
      <c r="L37" s="4">
        <v>1</v>
      </c>
      <c r="M37" s="4">
        <v>1</v>
      </c>
      <c r="N37" s="4">
        <v>1</v>
      </c>
    </row>
    <row r="38" spans="1:14" thickTop="1" thickBot="1" x14ac:dyDescent="0.3">
      <c r="A38" s="1" t="s">
        <v>21</v>
      </c>
      <c r="B38" s="4">
        <v>0.16666666666666599</v>
      </c>
      <c r="C38" s="4">
        <v>0.875</v>
      </c>
      <c r="D38" s="4">
        <v>0.28000000000000003</v>
      </c>
      <c r="E38" s="4">
        <v>0.40923076923076901</v>
      </c>
      <c r="F38" s="4">
        <v>8.8607594936708806E-2</v>
      </c>
      <c r="G38" s="15">
        <f t="shared" si="1"/>
        <v>4.9540396710209822E-3</v>
      </c>
      <c r="I38" s="1" t="s">
        <v>21</v>
      </c>
      <c r="J38" s="4">
        <v>0.17777777777777701</v>
      </c>
      <c r="K38" s="4">
        <v>1</v>
      </c>
      <c r="L38" s="4">
        <v>0.30188679245283001</v>
      </c>
      <c r="M38" s="4">
        <v>0.40427672955974803</v>
      </c>
      <c r="N38" s="4">
        <v>0.11377245508981999</v>
      </c>
    </row>
    <row r="39" spans="1:14" thickTop="1" thickBot="1" x14ac:dyDescent="0.3">
      <c r="A39" s="1" t="s">
        <v>22</v>
      </c>
      <c r="B39" s="4">
        <v>0.94545454545454499</v>
      </c>
      <c r="C39" s="4">
        <v>0.96296296296296202</v>
      </c>
      <c r="D39" s="4">
        <v>0.95412844036697197</v>
      </c>
      <c r="E39" s="4">
        <v>0.84548527281506503</v>
      </c>
      <c r="F39" s="4">
        <v>0.69111969111969096</v>
      </c>
      <c r="G39" s="15">
        <f t="shared" si="1"/>
        <v>-5.2765919553773966E-2</v>
      </c>
      <c r="I39" s="1" t="s">
        <v>22</v>
      </c>
      <c r="J39" s="4">
        <v>0.94736842105263097</v>
      </c>
      <c r="K39" s="4">
        <v>1</v>
      </c>
      <c r="L39" s="4">
        <v>0.97297297297297303</v>
      </c>
      <c r="M39" s="4">
        <v>0.89825119236883899</v>
      </c>
      <c r="N39" s="4">
        <v>0.797468354430379</v>
      </c>
    </row>
    <row r="40" spans="1:14" thickTop="1" thickBot="1" x14ac:dyDescent="0.3">
      <c r="A40" s="1" t="s">
        <v>23</v>
      </c>
      <c r="B40" s="4">
        <v>1</v>
      </c>
      <c r="C40" s="4">
        <v>0.96428571428571397</v>
      </c>
      <c r="D40" s="4">
        <v>0.98181818181818103</v>
      </c>
      <c r="E40" s="4">
        <v>0.93535353535353505</v>
      </c>
      <c r="F40" s="4">
        <v>0.87096774193548299</v>
      </c>
      <c r="G40" s="15">
        <f t="shared" si="1"/>
        <v>6.7821067821070002E-3</v>
      </c>
      <c r="I40" s="1" t="s">
        <v>23</v>
      </c>
      <c r="J40" s="4">
        <v>0.98214285714285698</v>
      </c>
      <c r="K40" s="4">
        <v>0.98214285714285698</v>
      </c>
      <c r="L40" s="4">
        <v>0.98214285714285698</v>
      </c>
      <c r="M40" s="4">
        <v>0.92857142857142805</v>
      </c>
      <c r="N40" s="4">
        <v>0.85714285714285698</v>
      </c>
    </row>
    <row r="41" spans="1:14" thickTop="1" thickBot="1" x14ac:dyDescent="0.3">
      <c r="A41" s="1" t="s">
        <v>24</v>
      </c>
      <c r="B41" s="4">
        <v>0.677966101694915</v>
      </c>
      <c r="C41" s="4">
        <v>0.97560975609756095</v>
      </c>
      <c r="D41" s="4">
        <v>0.8</v>
      </c>
      <c r="E41" s="4">
        <v>0.54285714285714204</v>
      </c>
      <c r="F41" s="4">
        <v>0.18053777208706701</v>
      </c>
      <c r="G41" s="15">
        <f t="shared" si="1"/>
        <v>-1.1231599350411958E-2</v>
      </c>
      <c r="I41" s="1" t="s">
        <v>24</v>
      </c>
      <c r="J41" s="4">
        <v>0.68333333333333302</v>
      </c>
      <c r="K41" s="4">
        <v>1</v>
      </c>
      <c r="L41" s="4">
        <v>0.81188118811881105</v>
      </c>
      <c r="M41" s="4">
        <v>0.554088742207554</v>
      </c>
      <c r="N41" s="4">
        <v>0.21243523316062099</v>
      </c>
    </row>
    <row r="42" spans="1:14" thickTop="1" thickBot="1" x14ac:dyDescent="0.3">
      <c r="A42" s="1" t="s">
        <v>25</v>
      </c>
      <c r="B42" s="4">
        <v>0.64705882352941102</v>
      </c>
      <c r="C42" s="4">
        <v>0.91666666666666596</v>
      </c>
      <c r="D42" s="4">
        <v>0.75862068965517204</v>
      </c>
      <c r="E42" s="4">
        <v>0.62321278385197598</v>
      </c>
      <c r="F42" s="4">
        <v>0.291139240506329</v>
      </c>
      <c r="G42" s="15">
        <f t="shared" si="1"/>
        <v>2.238118302037595E-2</v>
      </c>
      <c r="I42" s="1" t="s">
        <v>25</v>
      </c>
      <c r="J42" s="4">
        <v>0.63636363636363602</v>
      </c>
      <c r="K42" s="4">
        <v>0.97222222222222199</v>
      </c>
      <c r="L42" s="4">
        <v>0.76923076923076905</v>
      </c>
      <c r="M42" s="4">
        <v>0.60083160083160003</v>
      </c>
      <c r="N42" s="4">
        <v>0.27896995708154498</v>
      </c>
    </row>
    <row r="43" spans="1:14" thickTop="1" thickBot="1" x14ac:dyDescent="0.3">
      <c r="A43" s="1" t="s">
        <v>26</v>
      </c>
      <c r="B43" s="4">
        <v>0.73684210526315697</v>
      </c>
      <c r="C43" s="4">
        <v>1</v>
      </c>
      <c r="D43" s="4">
        <v>0.84848484848484795</v>
      </c>
      <c r="E43" s="4">
        <v>0.89792663476874002</v>
      </c>
      <c r="F43" s="4">
        <v>0.797468354430379</v>
      </c>
      <c r="G43" s="15">
        <f t="shared" si="1"/>
        <v>0</v>
      </c>
      <c r="I43" s="1" t="s">
        <v>26</v>
      </c>
      <c r="J43" s="4">
        <v>0.73684210526315697</v>
      </c>
      <c r="K43" s="4">
        <v>1</v>
      </c>
      <c r="L43" s="4">
        <v>0.84848484848484795</v>
      </c>
      <c r="M43" s="4">
        <v>0.89792663476874002</v>
      </c>
      <c r="N43" s="4">
        <v>0.797468354430379</v>
      </c>
    </row>
    <row r="44" spans="1:14" thickTop="1" thickBot="1" x14ac:dyDescent="0.3">
      <c r="A44" s="1" t="s">
        <v>27</v>
      </c>
      <c r="B44" s="4">
        <v>0.875</v>
      </c>
      <c r="C44" s="4">
        <v>0.7</v>
      </c>
      <c r="D44" s="4">
        <v>0.77777777777777701</v>
      </c>
      <c r="E44" s="4">
        <v>0.84541062801932298</v>
      </c>
      <c r="F44" s="4">
        <v>0.69230769230769196</v>
      </c>
      <c r="G44" s="15">
        <f t="shared" si="1"/>
        <v>-0.11915194119440897</v>
      </c>
      <c r="I44" s="1" t="s">
        <v>27</v>
      </c>
      <c r="J44" s="4">
        <v>0.90909090909090895</v>
      </c>
      <c r="K44" s="4">
        <v>1</v>
      </c>
      <c r="L44" s="4">
        <v>0.952380952380952</v>
      </c>
      <c r="M44" s="4">
        <v>0.96456256921373196</v>
      </c>
      <c r="N44" s="4">
        <v>0.92920353982300796</v>
      </c>
    </row>
    <row r="45" spans="1:14" thickTop="1" thickBot="1" x14ac:dyDescent="0.3">
      <c r="A45" s="1" t="s">
        <v>28</v>
      </c>
      <c r="B45" s="4">
        <v>0.44444444444444398</v>
      </c>
      <c r="C45" s="4">
        <v>0.8</v>
      </c>
      <c r="D45" s="4">
        <v>0.57142857142857095</v>
      </c>
      <c r="E45" s="4">
        <v>0.72571428571428498</v>
      </c>
      <c r="F45" s="4">
        <v>0.463687150837988</v>
      </c>
      <c r="G45" s="15">
        <f t="shared" si="1"/>
        <v>2.4020143474750011E-3</v>
      </c>
      <c r="I45" s="1" t="s">
        <v>28</v>
      </c>
      <c r="J45" s="4">
        <v>0.42857142857142799</v>
      </c>
      <c r="K45" s="4">
        <v>0.9</v>
      </c>
      <c r="L45" s="4">
        <v>0.58064516129032195</v>
      </c>
      <c r="M45" s="4">
        <v>0.72331227136680998</v>
      </c>
      <c r="N45" s="4">
        <v>0.46803069053708402</v>
      </c>
    </row>
    <row r="46" spans="1:14" thickTop="1" thickBot="1" x14ac:dyDescent="0.3">
      <c r="A46" s="1" t="s">
        <v>29</v>
      </c>
      <c r="B46" s="4">
        <v>0.67762034634694202</v>
      </c>
      <c r="C46" s="4">
        <v>0.86961074133275096</v>
      </c>
      <c r="D46" s="4">
        <v>0.73589388919210996</v>
      </c>
      <c r="E46" s="4">
        <v>0.72945011901902501</v>
      </c>
      <c r="F46" s="4">
        <v>0.50737920606929898</v>
      </c>
      <c r="G46" s="15">
        <f t="shared" si="1"/>
        <v>-1.1765035482369512E-3</v>
      </c>
      <c r="I46" s="1" t="s">
        <v>29</v>
      </c>
      <c r="J46" s="4">
        <v>0.670812901561054</v>
      </c>
      <c r="K46" s="4">
        <v>0.92148086230122195</v>
      </c>
      <c r="L46" s="4">
        <v>0.749384490815728</v>
      </c>
      <c r="M46" s="4">
        <v>0.73062662256726196</v>
      </c>
      <c r="N46" s="4">
        <v>0.51955260613499199</v>
      </c>
    </row>
    <row r="47" spans="1:14" thickTop="1" thickBot="1" x14ac:dyDescent="0.3">
      <c r="G47" s="15"/>
      <c r="I47" s="2"/>
    </row>
    <row r="48" spans="1:14" thickTop="1" thickBot="1" x14ac:dyDescent="0.3">
      <c r="A48" s="9" t="s">
        <v>6</v>
      </c>
      <c r="B48" s="9"/>
      <c r="C48" s="9"/>
      <c r="D48" s="9"/>
      <c r="E48" s="9"/>
      <c r="F48" s="9"/>
      <c r="G48" s="15"/>
      <c r="I48" s="9" t="s">
        <v>6</v>
      </c>
      <c r="J48" s="9"/>
      <c r="K48" s="9"/>
      <c r="L48" s="9"/>
      <c r="M48" s="9"/>
      <c r="N48" s="9"/>
    </row>
    <row r="49" spans="1:14" thickTop="1" thickBot="1" x14ac:dyDescent="0.3">
      <c r="A49" s="1" t="s">
        <v>9</v>
      </c>
      <c r="B49" s="3" t="s">
        <v>1</v>
      </c>
      <c r="C49" s="3" t="s">
        <v>2</v>
      </c>
      <c r="D49" s="3" t="s">
        <v>4</v>
      </c>
      <c r="E49" s="3" t="s">
        <v>3</v>
      </c>
      <c r="F49" s="3" t="s">
        <v>5</v>
      </c>
      <c r="G49" s="16" t="s">
        <v>33</v>
      </c>
      <c r="I49" s="1" t="s">
        <v>9</v>
      </c>
      <c r="J49" s="3" t="s">
        <v>1</v>
      </c>
      <c r="K49" s="3" t="s">
        <v>2</v>
      </c>
      <c r="L49" s="3" t="s">
        <v>4</v>
      </c>
      <c r="M49" s="3" t="s">
        <v>3</v>
      </c>
      <c r="N49" s="3" t="s">
        <v>5</v>
      </c>
    </row>
    <row r="50" spans="1:14" thickTop="1" thickBot="1" x14ac:dyDescent="0.3">
      <c r="A50" s="1" t="s">
        <v>10</v>
      </c>
      <c r="B50" s="4">
        <v>0.94545454545454499</v>
      </c>
      <c r="C50" s="4">
        <v>1</v>
      </c>
      <c r="D50" s="4">
        <v>0.97196261682242902</v>
      </c>
      <c r="E50" s="4">
        <v>0.91455273698264306</v>
      </c>
      <c r="F50" s="4">
        <v>0.82978723404255295</v>
      </c>
      <c r="G50" s="15">
        <f>E50-M50</f>
        <v>0</v>
      </c>
      <c r="I50" s="1" t="s">
        <v>10</v>
      </c>
      <c r="J50" s="4">
        <v>0.94545454545454499</v>
      </c>
      <c r="K50" s="4">
        <v>1</v>
      </c>
      <c r="L50" s="4">
        <v>0.97196261682242902</v>
      </c>
      <c r="M50" s="4">
        <v>0.91455273698264306</v>
      </c>
      <c r="N50" s="4">
        <v>0.82978723404255295</v>
      </c>
    </row>
    <row r="51" spans="1:14" thickTop="1" thickBot="1" x14ac:dyDescent="0.3">
      <c r="A51" s="1" t="s">
        <v>11</v>
      </c>
      <c r="B51" s="4">
        <v>0.72222222222222199</v>
      </c>
      <c r="C51" s="4">
        <v>0.56521739130434701</v>
      </c>
      <c r="D51" s="4">
        <v>0.63414634146341398</v>
      </c>
      <c r="E51" s="4">
        <v>0.73086627417998296</v>
      </c>
      <c r="F51" s="4">
        <v>0.465478841870824</v>
      </c>
      <c r="G51" s="15">
        <f t="shared" ref="G51:G69" si="2">E51-M51</f>
        <v>-9.5973552659843087E-2</v>
      </c>
      <c r="I51" s="1" t="s">
        <v>11</v>
      </c>
      <c r="J51" s="4">
        <v>0.80952380952380898</v>
      </c>
      <c r="K51" s="4">
        <v>0.73913043478260798</v>
      </c>
      <c r="L51" s="4">
        <v>0.77272727272727204</v>
      </c>
      <c r="M51" s="4">
        <v>0.82683982683982604</v>
      </c>
      <c r="N51" s="4">
        <v>0.65405405405405403</v>
      </c>
    </row>
    <row r="52" spans="1:14" thickTop="1" thickBot="1" x14ac:dyDescent="0.3">
      <c r="A52" s="1" t="s">
        <v>12</v>
      </c>
      <c r="B52" s="4">
        <v>1</v>
      </c>
      <c r="C52" s="4">
        <v>0.36170212765957399</v>
      </c>
      <c r="D52" s="4">
        <v>0.53125</v>
      </c>
      <c r="E52" s="4">
        <v>0.53125</v>
      </c>
      <c r="F52" s="4">
        <v>0.231385108086469</v>
      </c>
      <c r="G52" s="15">
        <f t="shared" si="2"/>
        <v>3.1738758553275015E-2</v>
      </c>
      <c r="I52" s="1" t="s">
        <v>12</v>
      </c>
      <c r="J52" s="4">
        <v>1</v>
      </c>
      <c r="K52" s="4">
        <v>0.31914893617021201</v>
      </c>
      <c r="L52" s="4">
        <v>0.483870967741935</v>
      </c>
      <c r="M52" s="4">
        <v>0.49951124144672499</v>
      </c>
      <c r="N52" s="4">
        <v>0.199374511336982</v>
      </c>
    </row>
    <row r="53" spans="1:14" thickTop="1" thickBot="1" x14ac:dyDescent="0.3">
      <c r="A53" s="1" t="s">
        <v>13</v>
      </c>
      <c r="B53" s="4">
        <v>0.91836734693877498</v>
      </c>
      <c r="C53" s="4">
        <v>0.95744680851063801</v>
      </c>
      <c r="D53" s="4">
        <v>0.9375</v>
      </c>
      <c r="E53" s="4">
        <v>0.875</v>
      </c>
      <c r="F53" s="4">
        <v>0.75032509752925802</v>
      </c>
      <c r="G53" s="15">
        <f t="shared" si="2"/>
        <v>0</v>
      </c>
      <c r="I53" s="1" t="s">
        <v>13</v>
      </c>
      <c r="J53" s="4">
        <v>0.91836734693877498</v>
      </c>
      <c r="K53" s="4">
        <v>0.95744680851063801</v>
      </c>
      <c r="L53" s="4">
        <v>0.9375</v>
      </c>
      <c r="M53" s="4">
        <v>0.875</v>
      </c>
      <c r="N53" s="4">
        <v>0.75032509752925802</v>
      </c>
    </row>
    <row r="54" spans="1:14" thickTop="1" thickBot="1" x14ac:dyDescent="0.3">
      <c r="A54" s="1" t="s">
        <v>14</v>
      </c>
      <c r="B54" s="4">
        <v>0.73076923076922995</v>
      </c>
      <c r="C54" s="4">
        <v>0.86363636363636298</v>
      </c>
      <c r="D54" s="4">
        <v>0.79166666666666596</v>
      </c>
      <c r="E54" s="4">
        <v>0.83333333333333304</v>
      </c>
      <c r="F54" s="4">
        <v>0.66804979253111996</v>
      </c>
      <c r="G54" s="15">
        <f t="shared" si="2"/>
        <v>2.5525525525526005E-2</v>
      </c>
      <c r="I54" s="1" t="s">
        <v>14</v>
      </c>
      <c r="J54" s="4">
        <v>0.65625</v>
      </c>
      <c r="K54" s="4">
        <v>0.95454545454545403</v>
      </c>
      <c r="L54" s="4">
        <v>0.77777777777777701</v>
      </c>
      <c r="M54" s="4">
        <v>0.80780780780780703</v>
      </c>
      <c r="N54" s="4">
        <v>0.625</v>
      </c>
    </row>
    <row r="55" spans="1:14" thickTop="1" thickBot="1" x14ac:dyDescent="0.3">
      <c r="A55" s="1" t="s">
        <v>15</v>
      </c>
      <c r="B55" s="4">
        <v>1</v>
      </c>
      <c r="C55" s="4">
        <v>0.77192982456140302</v>
      </c>
      <c r="D55" s="4">
        <v>0.87128712871287095</v>
      </c>
      <c r="E55" s="4">
        <v>0.694902823615694</v>
      </c>
      <c r="F55" s="4">
        <v>0.425414364640884</v>
      </c>
      <c r="G55" s="15">
        <f t="shared" si="2"/>
        <v>-6.6587859614118949E-2</v>
      </c>
      <c r="I55" s="1" t="s">
        <v>15</v>
      </c>
      <c r="J55" s="4">
        <v>1</v>
      </c>
      <c r="K55" s="4">
        <v>0.84210526315789402</v>
      </c>
      <c r="L55" s="4">
        <v>0.91428571428571404</v>
      </c>
      <c r="M55" s="4">
        <v>0.76149068322981295</v>
      </c>
      <c r="N55" s="4">
        <v>0.53846153846153799</v>
      </c>
    </row>
    <row r="56" spans="1:14" thickTop="1" thickBot="1" x14ac:dyDescent="0.3">
      <c r="A56" s="1" t="s">
        <v>16</v>
      </c>
      <c r="B56" s="4">
        <v>0.76923076923076905</v>
      </c>
      <c r="C56" s="4">
        <v>0.73170731707317005</v>
      </c>
      <c r="D56" s="4">
        <v>0.75</v>
      </c>
      <c r="E56" s="4">
        <v>0.66666666666666596</v>
      </c>
      <c r="F56" s="4">
        <v>0.33402705515088399</v>
      </c>
      <c r="G56" s="15">
        <f t="shared" si="2"/>
        <v>-2.1645021645022022E-2</v>
      </c>
      <c r="I56" s="1" t="s">
        <v>16</v>
      </c>
      <c r="J56" s="4">
        <v>0.76744186046511598</v>
      </c>
      <c r="K56" s="4">
        <v>0.80487804878048697</v>
      </c>
      <c r="L56" s="4">
        <v>0.78571428571428503</v>
      </c>
      <c r="M56" s="4">
        <v>0.68831168831168799</v>
      </c>
      <c r="N56" s="4">
        <v>0.377297297297297</v>
      </c>
    </row>
    <row r="57" spans="1:14" thickTop="1" thickBot="1" x14ac:dyDescent="0.3">
      <c r="A57" s="1" t="s">
        <v>17</v>
      </c>
      <c r="B57" s="4">
        <v>0.51923076923076905</v>
      </c>
      <c r="C57" s="4">
        <v>0.9</v>
      </c>
      <c r="D57" s="4">
        <v>0.65853658536585302</v>
      </c>
      <c r="E57" s="4">
        <v>0.52492046659597003</v>
      </c>
      <c r="F57" s="4">
        <v>0.157894736842105</v>
      </c>
      <c r="G57" s="15">
        <f t="shared" si="2"/>
        <v>0</v>
      </c>
      <c r="I57" s="1" t="s">
        <v>17</v>
      </c>
      <c r="J57" s="4">
        <v>0.51923076923076905</v>
      </c>
      <c r="K57" s="4">
        <v>0.9</v>
      </c>
      <c r="L57" s="4">
        <v>0.65853658536585302</v>
      </c>
      <c r="M57" s="4">
        <v>0.52492046659597003</v>
      </c>
      <c r="N57" s="4">
        <v>0.157894736842105</v>
      </c>
    </row>
    <row r="58" spans="1:14" thickTop="1" thickBot="1" x14ac:dyDescent="0.3">
      <c r="A58" s="1" t="s">
        <v>18</v>
      </c>
      <c r="B58" s="4">
        <v>0.91176470588235203</v>
      </c>
      <c r="C58" s="4">
        <v>0.62</v>
      </c>
      <c r="D58" s="4">
        <v>0.73809523809523803</v>
      </c>
      <c r="E58" s="4">
        <v>0.61904761904761896</v>
      </c>
      <c r="F58" s="4">
        <v>0.28744939271254999</v>
      </c>
      <c r="G58" s="15">
        <f t="shared" si="2"/>
        <v>-0.12534562211981504</v>
      </c>
      <c r="I58" s="1" t="s">
        <v>18</v>
      </c>
      <c r="J58" s="4">
        <v>0.93023255813953398</v>
      </c>
      <c r="K58" s="4">
        <v>0.8</v>
      </c>
      <c r="L58" s="4">
        <v>0.86021505376343999</v>
      </c>
      <c r="M58" s="4">
        <v>0.74439324116743399</v>
      </c>
      <c r="N58" s="4">
        <v>0.49636803874092</v>
      </c>
    </row>
    <row r="59" spans="1:14" thickTop="1" thickBot="1" x14ac:dyDescent="0.3">
      <c r="A59" s="1" t="s">
        <v>19</v>
      </c>
      <c r="B59" s="4">
        <v>0.97959183673469297</v>
      </c>
      <c r="C59" s="4">
        <v>1</v>
      </c>
      <c r="D59" s="4">
        <v>0.98969072164948402</v>
      </c>
      <c r="E59" s="4">
        <v>0.97871632856667701</v>
      </c>
      <c r="F59" s="4">
        <v>0.95744680851063801</v>
      </c>
      <c r="G59" s="15">
        <f t="shared" si="2"/>
        <v>0</v>
      </c>
      <c r="I59" s="1" t="s">
        <v>19</v>
      </c>
      <c r="J59" s="4">
        <v>0.97959183673469297</v>
      </c>
      <c r="K59" s="4">
        <v>1</v>
      </c>
      <c r="L59" s="4">
        <v>0.98969072164948402</v>
      </c>
      <c r="M59" s="4">
        <v>0.97871632856667701</v>
      </c>
      <c r="N59" s="4">
        <v>0.95744680851063801</v>
      </c>
    </row>
    <row r="60" spans="1:14" thickTop="1" thickBot="1" x14ac:dyDescent="0.3">
      <c r="A60" s="1" t="s">
        <v>20</v>
      </c>
      <c r="B60" s="4">
        <v>1</v>
      </c>
      <c r="C60" s="4">
        <v>1</v>
      </c>
      <c r="D60" s="4">
        <v>1</v>
      </c>
      <c r="E60" s="4">
        <v>1</v>
      </c>
      <c r="F60" s="4">
        <v>1</v>
      </c>
      <c r="G60" s="15">
        <f t="shared" si="2"/>
        <v>0</v>
      </c>
      <c r="I60" s="1" t="s">
        <v>20</v>
      </c>
      <c r="J60" s="4">
        <v>1</v>
      </c>
      <c r="K60" s="4">
        <v>1</v>
      </c>
      <c r="L60" s="4">
        <v>1</v>
      </c>
      <c r="M60" s="4">
        <v>1</v>
      </c>
      <c r="N60" s="4">
        <v>1</v>
      </c>
    </row>
    <row r="61" spans="1:14" thickTop="1" thickBot="1" x14ac:dyDescent="0.3">
      <c r="A61" s="1" t="s">
        <v>21</v>
      </c>
      <c r="B61" s="4">
        <v>0.97619047619047605</v>
      </c>
      <c r="C61" s="4">
        <v>0.73214285714285698</v>
      </c>
      <c r="D61" s="4">
        <v>0.83673469387755095</v>
      </c>
      <c r="E61" s="4">
        <v>0.65170068027210803</v>
      </c>
      <c r="F61" s="4">
        <v>0.34693877551020402</v>
      </c>
      <c r="G61" s="15">
        <f t="shared" si="2"/>
        <v>-4.3202143343585964E-2</v>
      </c>
      <c r="I61" s="1" t="s">
        <v>21</v>
      </c>
      <c r="J61" s="4">
        <v>0.97777777777777697</v>
      </c>
      <c r="K61" s="4">
        <v>0.78571428571428503</v>
      </c>
      <c r="L61" s="4">
        <v>0.87128712871287095</v>
      </c>
      <c r="M61" s="4">
        <v>0.694902823615694</v>
      </c>
      <c r="N61" s="4">
        <v>0.41573033707865098</v>
      </c>
    </row>
    <row r="62" spans="1:14" thickTop="1" thickBot="1" x14ac:dyDescent="0.3">
      <c r="A62" s="1" t="s">
        <v>22</v>
      </c>
      <c r="B62" s="4">
        <v>0.98181818181818103</v>
      </c>
      <c r="C62" s="4">
        <v>0.96428571428571397</v>
      </c>
      <c r="D62" s="4">
        <v>0.97297297297297303</v>
      </c>
      <c r="E62" s="4">
        <v>0.89825119236883899</v>
      </c>
      <c r="F62" s="4">
        <v>0.79661016949152497</v>
      </c>
      <c r="G62" s="15">
        <f t="shared" si="2"/>
        <v>-6.3990695536765063E-2</v>
      </c>
      <c r="I62" s="1" t="s">
        <v>22</v>
      </c>
      <c r="J62" s="4">
        <v>0.98245614035087703</v>
      </c>
      <c r="K62" s="4">
        <v>1</v>
      </c>
      <c r="L62" s="4">
        <v>0.99115044247787598</v>
      </c>
      <c r="M62" s="4">
        <v>0.96224188790560405</v>
      </c>
      <c r="N62" s="4">
        <v>0.92452830188679203</v>
      </c>
    </row>
    <row r="63" spans="1:14" thickTop="1" thickBot="1" x14ac:dyDescent="0.3">
      <c r="A63" s="1" t="s">
        <v>23</v>
      </c>
      <c r="B63" s="4">
        <v>0.98148148148148096</v>
      </c>
      <c r="C63" s="4">
        <v>0.96363636363636296</v>
      </c>
      <c r="D63" s="4">
        <v>0.97247706422018299</v>
      </c>
      <c r="E63" s="4">
        <v>0.90729116368903895</v>
      </c>
      <c r="F63" s="4">
        <v>0.81467181467181404</v>
      </c>
      <c r="G63" s="15">
        <f t="shared" si="2"/>
        <v>9.0399713201999576E-3</v>
      </c>
      <c r="I63" s="1" t="s">
        <v>23</v>
      </c>
      <c r="J63" s="4">
        <v>0.96428571428571397</v>
      </c>
      <c r="K63" s="4">
        <v>0.98181818181818103</v>
      </c>
      <c r="L63" s="4">
        <v>0.97297297297297303</v>
      </c>
      <c r="M63" s="4">
        <v>0.89825119236883899</v>
      </c>
      <c r="N63" s="4">
        <v>0.79661016949152497</v>
      </c>
    </row>
    <row r="64" spans="1:14" thickTop="1" thickBot="1" x14ac:dyDescent="0.3">
      <c r="A64" s="1" t="s">
        <v>24</v>
      </c>
      <c r="B64" s="4">
        <v>0.79661016949152497</v>
      </c>
      <c r="C64" s="4">
        <v>0.97916666666666596</v>
      </c>
      <c r="D64" s="4">
        <v>0.87850467289719603</v>
      </c>
      <c r="E64" s="4">
        <v>0.62972852692478798</v>
      </c>
      <c r="F64" s="4">
        <v>0.29729729729729698</v>
      </c>
      <c r="G64" s="15">
        <f t="shared" si="2"/>
        <v>-1.4715917519656063E-2</v>
      </c>
      <c r="I64" s="1" t="s">
        <v>24</v>
      </c>
      <c r="J64" s="4">
        <v>0.8</v>
      </c>
      <c r="K64" s="4">
        <v>1</v>
      </c>
      <c r="L64" s="4">
        <v>0.88888888888888795</v>
      </c>
      <c r="M64" s="4">
        <v>0.64444444444444404</v>
      </c>
      <c r="N64" s="4">
        <v>0.33333333333333298</v>
      </c>
    </row>
    <row r="65" spans="1:14" thickTop="1" thickBot="1" x14ac:dyDescent="0.3">
      <c r="A65" s="1" t="s">
        <v>25</v>
      </c>
      <c r="B65" s="4">
        <v>1</v>
      </c>
      <c r="C65" s="4">
        <v>0.86440677966101698</v>
      </c>
      <c r="D65" s="4">
        <v>0.92727272727272703</v>
      </c>
      <c r="E65" s="4">
        <v>0.74141414141414097</v>
      </c>
      <c r="F65" s="4">
        <v>0.499021526418786</v>
      </c>
      <c r="G65" s="15">
        <f t="shared" si="2"/>
        <v>-9.8184856079593041E-2</v>
      </c>
      <c r="I65" s="1" t="s">
        <v>25</v>
      </c>
      <c r="J65" s="4">
        <v>1</v>
      </c>
      <c r="K65" s="4">
        <v>0.93220338983050799</v>
      </c>
      <c r="L65" s="4">
        <v>0.96491228070175405</v>
      </c>
      <c r="M65" s="4">
        <v>0.83959899749373401</v>
      </c>
      <c r="N65" s="4">
        <v>0.682382133995037</v>
      </c>
    </row>
    <row r="66" spans="1:14" thickTop="1" thickBot="1" x14ac:dyDescent="0.3">
      <c r="A66" s="1" t="s">
        <v>26</v>
      </c>
      <c r="B66" s="4">
        <v>0.94736842105263097</v>
      </c>
      <c r="C66" s="4">
        <v>0.94736842105263097</v>
      </c>
      <c r="D66" s="4">
        <v>0.94736842105263097</v>
      </c>
      <c r="E66" s="4">
        <v>0.96257309941520397</v>
      </c>
      <c r="F66" s="4">
        <v>0.92514619883040905</v>
      </c>
      <c r="G66" s="15">
        <f t="shared" si="2"/>
        <v>0</v>
      </c>
      <c r="I66" s="1" t="s">
        <v>26</v>
      </c>
      <c r="J66" s="4">
        <v>0.94736842105263097</v>
      </c>
      <c r="K66" s="4">
        <v>0.94736842105263097</v>
      </c>
      <c r="L66" s="4">
        <v>0.94736842105263097</v>
      </c>
      <c r="M66" s="4">
        <v>0.96257309941520397</v>
      </c>
      <c r="N66" s="4">
        <v>0.92514619883040905</v>
      </c>
    </row>
    <row r="67" spans="1:14" thickTop="1" thickBot="1" x14ac:dyDescent="0.3">
      <c r="A67" s="1" t="s">
        <v>27</v>
      </c>
      <c r="B67" s="4">
        <v>0.8125</v>
      </c>
      <c r="C67" s="4">
        <v>0.68421052631578905</v>
      </c>
      <c r="D67" s="4">
        <v>0.74285714285714199</v>
      </c>
      <c r="E67" s="4">
        <v>0.82304147465437705</v>
      </c>
      <c r="F67" s="4">
        <v>0.64705882352941102</v>
      </c>
      <c r="G67" s="15">
        <f t="shared" si="2"/>
        <v>-8.7247283405616938E-2</v>
      </c>
      <c r="I67" s="1" t="s">
        <v>27</v>
      </c>
      <c r="J67" s="4">
        <v>0.81818181818181801</v>
      </c>
      <c r="K67" s="4">
        <v>0.94736842105263097</v>
      </c>
      <c r="L67" s="4">
        <v>0.87804878048780399</v>
      </c>
      <c r="M67" s="4">
        <v>0.91028875805999399</v>
      </c>
      <c r="N67" s="4">
        <v>0.82102908277404896</v>
      </c>
    </row>
    <row r="68" spans="1:14" thickTop="1" thickBot="1" x14ac:dyDescent="0.3">
      <c r="A68" s="1" t="s">
        <v>28</v>
      </c>
      <c r="B68" s="4">
        <v>0.88888888888888795</v>
      </c>
      <c r="C68" s="4">
        <v>0.88888888888888795</v>
      </c>
      <c r="D68" s="4">
        <v>0.88888888888888795</v>
      </c>
      <c r="E68" s="4">
        <v>0.92270531400966105</v>
      </c>
      <c r="F68" s="4">
        <v>0.84541062801932298</v>
      </c>
      <c r="G68" s="15">
        <f t="shared" si="2"/>
        <v>1.4897765752675096E-2</v>
      </c>
      <c r="I68" s="1" t="s">
        <v>28</v>
      </c>
      <c r="J68" s="4">
        <v>0.80952380952380898</v>
      </c>
      <c r="K68" s="4">
        <v>0.94444444444444398</v>
      </c>
      <c r="L68" s="4">
        <v>0.87179487179487103</v>
      </c>
      <c r="M68" s="4">
        <v>0.90780754825698595</v>
      </c>
      <c r="N68" s="4">
        <v>0.81609195402298795</v>
      </c>
    </row>
    <row r="69" spans="1:14" thickTop="1" thickBot="1" x14ac:dyDescent="0.3">
      <c r="A69" s="1" t="s">
        <v>29</v>
      </c>
      <c r="B69" s="4">
        <v>0.88849942344139698</v>
      </c>
      <c r="C69" s="4">
        <v>0.83135505528396902</v>
      </c>
      <c r="D69" s="4">
        <v>0.84427430962185501</v>
      </c>
      <c r="E69" s="4">
        <v>0.78452430745982804</v>
      </c>
      <c r="F69" s="4">
        <v>0.59365335082558202</v>
      </c>
      <c r="G69" s="15">
        <f t="shared" si="2"/>
        <v>-2.8194259514333964E-2</v>
      </c>
      <c r="I69" s="1" t="s">
        <v>29</v>
      </c>
      <c r="J69" s="4">
        <v>0.88556244250841398</v>
      </c>
      <c r="K69" s="4">
        <v>0.88716695209789298</v>
      </c>
      <c r="L69" s="4">
        <v>0.87045814647041397</v>
      </c>
      <c r="M69" s="4">
        <v>0.812718566974162</v>
      </c>
      <c r="N69" s="4">
        <v>0.64741372780147999</v>
      </c>
    </row>
  </sheetData>
  <mergeCells count="8">
    <mergeCell ref="A25:F25"/>
    <mergeCell ref="A2:F2"/>
    <mergeCell ref="A48:F48"/>
    <mergeCell ref="I2:N2"/>
    <mergeCell ref="A1:F1"/>
    <mergeCell ref="I1:N1"/>
    <mergeCell ref="I25:N25"/>
    <mergeCell ref="I48:N48"/>
  </mergeCells>
  <conditionalFormatting sqref="J2:N2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3:N69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:F1048576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6:G46 G49:G69 G145:G1048576">
    <cfRule type="cellIs" dxfId="0" priority="3" operator="equal">
      <formula>0</formula>
    </cfRule>
    <cfRule type="cellIs" dxfId="1" priority="2" operator="greaterThan">
      <formula>0</formula>
    </cfRule>
    <cfRule type="cellIs" dxfId="2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gemma4-26b-q4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2026-05-06T09:11:08Z</dcterms:modified>
</cp:coreProperties>
</file>