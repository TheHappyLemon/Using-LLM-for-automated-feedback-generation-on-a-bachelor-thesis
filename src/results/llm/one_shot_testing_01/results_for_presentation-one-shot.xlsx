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epos\Using-LLM-for-automated-feedback-generation-on-a-bachelor-thesis\src\results\llm\one_shot_testing_01\"/>
    </mc:Choice>
  </mc:AlternateContent>
  <xr:revisionPtr revIDLastSave="0" documentId="13_ncr:1_{5304155F-38BC-42E5-A267-D858E31092C9}" xr6:coauthVersionLast="47" xr6:coauthVersionMax="47" xr10:uidLastSave="{00000000-0000-0000-0000-000000000000}"/>
  <bookViews>
    <workbookView xWindow="-28920" yWindow="15" windowWidth="29040" windowHeight="15720" xr2:uid="{00000000-000D-0000-FFFF-FFFF00000000}"/>
  </bookViews>
  <sheets>
    <sheet name="One-sho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L14" i="1"/>
  <c r="L12" i="1"/>
  <c r="L6" i="1"/>
  <c r="L7" i="1"/>
  <c r="L5" i="1"/>
  <c r="K6" i="1"/>
  <c r="K7" i="1"/>
  <c r="K5" i="1"/>
  <c r="K13" i="1"/>
  <c r="K14" i="1"/>
  <c r="K12" i="1"/>
  <c r="G13" i="1"/>
  <c r="G14" i="1"/>
  <c r="G12" i="1"/>
  <c r="G6" i="1"/>
  <c r="G7" i="1"/>
  <c r="G5" i="1"/>
</calcChain>
</file>

<file path=xl/sharedStrings.xml><?xml version="1.0" encoding="utf-8"?>
<sst xmlns="http://schemas.openxmlformats.org/spreadsheetml/2006/main" count="45" uniqueCount="19">
  <si>
    <t>Precision_positive</t>
  </si>
  <si>
    <t>Recall_positive</t>
  </si>
  <si>
    <t>F1_positive</t>
  </si>
  <si>
    <t>F1_macro</t>
  </si>
  <si>
    <t>CohenKappa</t>
  </si>
  <si>
    <t>human</t>
  </si>
  <si>
    <t>human1</t>
  </si>
  <si>
    <t>human2</t>
  </si>
  <si>
    <t>human3</t>
  </si>
  <si>
    <t>gemma4-26b-q4 v humanx one-shot with positive example</t>
  </si>
  <si>
    <t>gemma4-26b-q4 v humanx one-shot with negative example</t>
  </si>
  <si>
    <t>F1 macro diff</t>
  </si>
  <si>
    <t>RESULTS AFTER PARSING RESPONSES WITH JSON-REPAIR</t>
  </si>
  <si>
    <t>gemma-26b-q4 OG results (zero-shot) without texts  1, 5, 7, 43, 57</t>
  </si>
  <si>
    <t>F1_negative</t>
  </si>
  <si>
    <t>Precision_negative</t>
  </si>
  <si>
    <t>Recall_negative</t>
  </si>
  <si>
    <t>P neg dif</t>
  </si>
  <si>
    <t>P pos 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</si>
</sst>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8">
    <xf numFmtId="0" fontId="0" fillId="0" borderId="0" xfId="0"/>
    <xf numFmtId="10" fontId="1" fillId="0" borderId="1" xfId="0" applyNumberFormat="1" applyFont="1" applyBorder="1"/>
    <xf numFmtId="10" fontId="0" fillId="0" borderId="0" xfId="0" applyNumberFormat="1"/>
    <xf numFmtId="10" fontId="0" fillId="0" borderId="1" xfId="0" applyNumberFormat="1" applyBorder="1"/>
    <xf numFmtId="10" fontId="1" fillId="0" borderId="0" xfId="0" applyNumberFormat="1" applyFont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10" fontId="1" fillId="0" borderId="8" xfId="0" applyNumberFormat="1" applyFont="1" applyBorder="1"/>
    <xf numFmtId="10" fontId="1" fillId="0" borderId="2" xfId="0" applyNumberFormat="1" applyFont="1" applyBorder="1" applyAlignment="1">
      <alignment horizontal="center"/>
    </xf>
    <xf numFmtId="10" fontId="1" fillId="0" borderId="0" xfId="0" applyNumberFormat="1" applyFont="1" applyAlignment="1">
      <alignment horizontal="center"/>
    </xf>
    <xf numFmtId="0" fontId="3" fillId="2" borderId="0" xfId="1" applyFont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0" fontId="1" fillId="0" borderId="8" xfId="0" applyNumberFormat="1" applyFont="1" applyFill="1" applyBorder="1"/>
  </cellXfs>
  <cellStyles count="2">
    <cellStyle name="Neutral" xfId="1" builtinId="28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workbookViewId="0">
      <selection activeCell="L12" sqref="L12:L14"/>
    </sheetView>
  </sheetViews>
  <sheetFormatPr defaultRowHeight="15" x14ac:dyDescent="0.25"/>
  <cols>
    <col min="2" max="2" width="18.140625" style="2" customWidth="1"/>
    <col min="3" max="3" width="17.5703125" style="2" customWidth="1"/>
    <col min="4" max="4" width="15" style="2" customWidth="1"/>
    <col min="5" max="5" width="13.7109375" style="2" customWidth="1"/>
    <col min="6" max="6" width="14.5703125" style="2" customWidth="1"/>
    <col min="7" max="8" width="14.28515625" customWidth="1"/>
    <col min="9" max="9" width="17.5703125" customWidth="1"/>
    <col min="10" max="10" width="16.85546875" customWidth="1"/>
    <col min="14" max="14" width="18" style="2" customWidth="1"/>
    <col min="15" max="15" width="17" style="2" customWidth="1"/>
    <col min="16" max="16" width="14.85546875" style="2" customWidth="1"/>
    <col min="17" max="17" width="12.85546875" style="2" customWidth="1"/>
    <col min="18" max="18" width="12.7109375" style="2" customWidth="1"/>
    <col min="19" max="19" width="15.85546875" customWidth="1"/>
    <col min="20" max="20" width="17.7109375" customWidth="1"/>
    <col min="21" max="21" width="19.140625" customWidth="1"/>
    <col min="22" max="22" width="20.140625" customWidth="1"/>
    <col min="23" max="23" width="19.85546875" customWidth="1"/>
    <col min="24" max="24" width="16.85546875" customWidth="1"/>
    <col min="25" max="25" width="13" customWidth="1"/>
    <col min="26" max="26" width="14.140625" customWidth="1"/>
  </cols>
  <sheetData>
    <row r="1" spans="1:21" x14ac:dyDescent="0.25">
      <c r="A1" s="11" t="s">
        <v>12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2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21" x14ac:dyDescent="0.25">
      <c r="A3" s="12" t="s">
        <v>9</v>
      </c>
      <c r="B3" s="13"/>
      <c r="C3" s="13"/>
      <c r="D3" s="13"/>
      <c r="E3" s="13"/>
      <c r="F3" s="13"/>
      <c r="G3" s="13"/>
      <c r="H3" s="7"/>
      <c r="I3" s="7"/>
      <c r="J3" s="7"/>
      <c r="M3" s="14" t="s">
        <v>13</v>
      </c>
      <c r="N3" s="15"/>
      <c r="O3" s="15"/>
      <c r="P3" s="15"/>
      <c r="Q3" s="15"/>
      <c r="R3" s="16"/>
    </row>
    <row r="4" spans="1:21" x14ac:dyDescent="0.25">
      <c r="A4" s="1" t="s">
        <v>5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11</v>
      </c>
      <c r="H4" s="1" t="s">
        <v>14</v>
      </c>
      <c r="I4" s="1" t="s">
        <v>15</v>
      </c>
      <c r="J4" s="1" t="s">
        <v>16</v>
      </c>
      <c r="K4" s="8" t="s">
        <v>18</v>
      </c>
      <c r="L4" s="17" t="s">
        <v>17</v>
      </c>
      <c r="M4" s="5"/>
      <c r="N4" s="1" t="s">
        <v>0</v>
      </c>
      <c r="O4" s="1" t="s">
        <v>1</v>
      </c>
      <c r="P4" s="1" t="s">
        <v>2</v>
      </c>
      <c r="Q4" s="1" t="s">
        <v>3</v>
      </c>
      <c r="R4" s="1" t="s">
        <v>4</v>
      </c>
      <c r="S4" s="1" t="s">
        <v>14</v>
      </c>
      <c r="T4" s="1" t="s">
        <v>15</v>
      </c>
      <c r="U4" s="1" t="s">
        <v>16</v>
      </c>
    </row>
    <row r="5" spans="1:21" x14ac:dyDescent="0.25">
      <c r="A5" s="1" t="s">
        <v>6</v>
      </c>
      <c r="B5" s="2">
        <v>0.86077643908969204</v>
      </c>
      <c r="C5" s="2">
        <v>0.95684523809523803</v>
      </c>
      <c r="D5" s="2">
        <v>0.90627202255109196</v>
      </c>
      <c r="E5" s="2">
        <v>0.87233406716862005</v>
      </c>
      <c r="F5" s="2">
        <v>0.74589206979007405</v>
      </c>
      <c r="G5" s="3">
        <f>E5-Q5</f>
        <v>2.037933714592044E-3</v>
      </c>
      <c r="H5" s="2">
        <v>0.83839611178614803</v>
      </c>
      <c r="I5" s="2">
        <v>0.92245989304812803</v>
      </c>
      <c r="J5" s="2">
        <v>0.76837416481068999</v>
      </c>
      <c r="K5" s="2">
        <f>B5-N5</f>
        <v>-4.3461767141219632E-3</v>
      </c>
      <c r="L5" s="2">
        <f>I5-T5</f>
        <v>1.8067128190247028E-2</v>
      </c>
      <c r="M5" s="6" t="s">
        <v>6</v>
      </c>
      <c r="N5" s="2">
        <v>0.865122615803814</v>
      </c>
      <c r="O5" s="2">
        <v>0.94494047619047605</v>
      </c>
      <c r="P5" s="2">
        <v>0.903271692745377</v>
      </c>
      <c r="Q5" s="2">
        <v>0.87029613345402801</v>
      </c>
      <c r="R5" s="2">
        <v>0.74143785085562097</v>
      </c>
      <c r="S5" s="2">
        <v>0.83732057416267902</v>
      </c>
      <c r="T5" s="2">
        <v>0.904392764857881</v>
      </c>
      <c r="U5" s="2">
        <v>0.77951002227171495</v>
      </c>
    </row>
    <row r="6" spans="1:21" x14ac:dyDescent="0.25">
      <c r="A6" s="1" t="s">
        <v>7</v>
      </c>
      <c r="B6" s="2">
        <v>0.65997322623828603</v>
      </c>
      <c r="C6" s="2">
        <v>0.93904761904761902</v>
      </c>
      <c r="D6" s="2">
        <v>0.77515723270440196</v>
      </c>
      <c r="E6" s="2">
        <v>0.74015593593982998</v>
      </c>
      <c r="F6" s="2">
        <v>0.50027277176640705</v>
      </c>
      <c r="G6" s="3">
        <f t="shared" ref="G6:G7" si="0">E6-Q6</f>
        <v>-1.4375628050709022E-2</v>
      </c>
      <c r="H6" s="2">
        <v>0.705154639175257</v>
      </c>
      <c r="I6" s="2">
        <v>0.91443850267379601</v>
      </c>
      <c r="J6" s="2">
        <v>0.57382550335570404</v>
      </c>
      <c r="K6" s="2">
        <f t="shared" ref="K6:K7" si="1">B6-N6</f>
        <v>-1.3051296922475975E-2</v>
      </c>
      <c r="L6" s="2">
        <f t="shared" ref="L6:L7" si="2">I6-T6</f>
        <v>-5.4581381530769413E-3</v>
      </c>
      <c r="M6" s="6" t="s">
        <v>7</v>
      </c>
      <c r="N6" s="2">
        <v>0.673024523160762</v>
      </c>
      <c r="O6" s="2">
        <v>0.94095238095238098</v>
      </c>
      <c r="P6" s="2">
        <v>0.78474980142970596</v>
      </c>
      <c r="Q6" s="2">
        <v>0.754531563990539</v>
      </c>
      <c r="R6" s="2">
        <v>0.52580002154099204</v>
      </c>
      <c r="S6" s="2">
        <v>0.72431332655137304</v>
      </c>
      <c r="T6" s="2">
        <v>0.91989664082687295</v>
      </c>
      <c r="U6" s="2">
        <v>0.59731543624160999</v>
      </c>
    </row>
    <row r="7" spans="1:21" x14ac:dyDescent="0.25">
      <c r="A7" s="1" t="s">
        <v>8</v>
      </c>
      <c r="B7" s="2">
        <v>0.88755020080321201</v>
      </c>
      <c r="C7" s="2">
        <v>0.90450204638471998</v>
      </c>
      <c r="D7" s="2">
        <v>0.89594594594594501</v>
      </c>
      <c r="E7" s="2">
        <v>0.84692310420656802</v>
      </c>
      <c r="F7" s="2">
        <v>0.69389940742369305</v>
      </c>
      <c r="G7" s="3">
        <f t="shared" si="0"/>
        <v>1.3555907601691009E-2</v>
      </c>
      <c r="H7" s="2">
        <v>0.79790026246719103</v>
      </c>
      <c r="I7" s="2">
        <v>0.81283422459892996</v>
      </c>
      <c r="J7" s="2">
        <v>0.78350515463917503</v>
      </c>
      <c r="K7" s="2">
        <f t="shared" si="1"/>
        <v>3.3540155171090102E-3</v>
      </c>
      <c r="L7" s="2">
        <f t="shared" si="2"/>
        <v>2.9888488164821925E-2</v>
      </c>
      <c r="M7" s="6" t="s">
        <v>8</v>
      </c>
      <c r="N7" s="2">
        <v>0.884196185286103</v>
      </c>
      <c r="O7" s="2">
        <v>0.88540245566166398</v>
      </c>
      <c r="P7" s="2">
        <v>0.88479890933878602</v>
      </c>
      <c r="Q7" s="2">
        <v>0.83336719660487701</v>
      </c>
      <c r="R7" s="2">
        <v>0.66673468633842403</v>
      </c>
      <c r="S7" s="2">
        <v>0.78193548387096701</v>
      </c>
      <c r="T7" s="2">
        <v>0.78294573643410803</v>
      </c>
      <c r="U7" s="2">
        <v>0.78092783505154595</v>
      </c>
    </row>
    <row r="8" spans="1:21" x14ac:dyDescent="0.25">
      <c r="A8" s="2"/>
      <c r="G8" s="2"/>
      <c r="H8" s="2"/>
      <c r="I8" s="2"/>
      <c r="J8" s="2"/>
      <c r="K8" s="2"/>
      <c r="L8" s="2"/>
      <c r="M8" s="2"/>
    </row>
    <row r="9" spans="1:21" x14ac:dyDescent="0.25">
      <c r="A9" s="2"/>
      <c r="G9" s="2"/>
      <c r="H9" s="2"/>
      <c r="I9" s="2"/>
      <c r="J9" s="2"/>
      <c r="K9" s="2"/>
      <c r="L9" s="2"/>
      <c r="M9" s="2"/>
      <c r="S9" s="2"/>
    </row>
    <row r="10" spans="1:21" x14ac:dyDescent="0.25">
      <c r="A10" s="9" t="s">
        <v>10</v>
      </c>
      <c r="B10" s="10"/>
      <c r="C10" s="10"/>
      <c r="D10" s="10"/>
      <c r="E10" s="10"/>
      <c r="F10" s="10"/>
      <c r="G10" s="10"/>
      <c r="H10" s="4"/>
      <c r="I10" s="4"/>
      <c r="J10" s="4"/>
      <c r="K10" s="2"/>
      <c r="L10" s="2"/>
      <c r="M10" s="2"/>
      <c r="S10" s="2"/>
    </row>
    <row r="11" spans="1:21" x14ac:dyDescent="0.25">
      <c r="A11" s="1" t="s">
        <v>5</v>
      </c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11</v>
      </c>
      <c r="H11" s="1" t="s">
        <v>14</v>
      </c>
      <c r="I11" s="1" t="s">
        <v>15</v>
      </c>
      <c r="J11" s="1" t="s">
        <v>16</v>
      </c>
      <c r="K11" s="2" t="s">
        <v>17</v>
      </c>
      <c r="L11" s="2" t="s">
        <v>18</v>
      </c>
      <c r="M11" s="2"/>
      <c r="S11" s="2"/>
    </row>
    <row r="12" spans="1:21" x14ac:dyDescent="0.25">
      <c r="A12" s="1" t="s">
        <v>6</v>
      </c>
      <c r="B12" s="2">
        <v>0.85545335085413898</v>
      </c>
      <c r="C12" s="2">
        <v>0.96875</v>
      </c>
      <c r="D12" s="2">
        <v>0.908583391486392</v>
      </c>
      <c r="E12" s="2">
        <v>0.87332754246754696</v>
      </c>
      <c r="F12" s="2">
        <v>0.74837433966919598</v>
      </c>
      <c r="G12" s="3">
        <f>E12-Q5</f>
        <v>3.0314090135189486E-3</v>
      </c>
      <c r="H12" s="2">
        <v>0.83807169344870203</v>
      </c>
      <c r="I12" s="2">
        <v>0.94166666666666599</v>
      </c>
      <c r="J12" s="2">
        <v>0.75501113585746105</v>
      </c>
      <c r="K12" s="2">
        <f>I12-T5</f>
        <v>3.7273901808784982E-2</v>
      </c>
      <c r="L12" s="2">
        <f>B12-N5</f>
        <v>-9.669264949675016E-3</v>
      </c>
      <c r="M12" s="2"/>
      <c r="S12" s="2"/>
    </row>
    <row r="13" spans="1:21" x14ac:dyDescent="0.25">
      <c r="A13" s="1" t="s">
        <v>7</v>
      </c>
      <c r="B13" s="2">
        <v>0.65834428383705601</v>
      </c>
      <c r="C13" s="2">
        <v>0.95428571428571396</v>
      </c>
      <c r="D13" s="2">
        <v>0.77916018662519404</v>
      </c>
      <c r="E13" s="2">
        <v>0.74104452845904001</v>
      </c>
      <c r="F13" s="2">
        <v>0.50453501329066996</v>
      </c>
      <c r="G13" s="3">
        <f t="shared" ref="G13:G14" si="3">E13-Q6</f>
        <v>-1.3487035531498992E-2</v>
      </c>
      <c r="H13" s="2">
        <v>0.70292887029288698</v>
      </c>
      <c r="I13" s="2">
        <v>0.93333333333333302</v>
      </c>
      <c r="J13" s="2">
        <v>0.56375838926174404</v>
      </c>
      <c r="K13" s="2">
        <f t="shared" ref="K13:K14" si="4">I13-T6</f>
        <v>1.3436692506460068E-2</v>
      </c>
      <c r="L13" s="2">
        <f t="shared" ref="L13:L14" si="5">B13-N6</f>
        <v>-1.468023932370599E-2</v>
      </c>
      <c r="M13" s="2"/>
      <c r="S13" s="2"/>
    </row>
    <row r="14" spans="1:21" x14ac:dyDescent="0.25">
      <c r="A14" s="1" t="s">
        <v>8</v>
      </c>
      <c r="B14" s="2">
        <v>0.88173455978975002</v>
      </c>
      <c r="C14" s="2">
        <v>0.91541609822646597</v>
      </c>
      <c r="D14" s="2">
        <v>0.898259705488621</v>
      </c>
      <c r="E14" s="2">
        <v>0.847525574669444</v>
      </c>
      <c r="F14" s="2">
        <v>0.69526493879974505</v>
      </c>
      <c r="G14" s="3">
        <f t="shared" si="3"/>
        <v>1.415837806456699E-2</v>
      </c>
      <c r="H14" s="2">
        <v>0.79679144385026701</v>
      </c>
      <c r="I14" s="2">
        <v>0.82777777777777695</v>
      </c>
      <c r="J14" s="2">
        <v>0.768041237113402</v>
      </c>
      <c r="K14" s="2">
        <f t="shared" si="4"/>
        <v>4.4832041343668916E-2</v>
      </c>
      <c r="L14" s="2">
        <f t="shared" si="5"/>
        <v>-2.4616254963529816E-3</v>
      </c>
      <c r="M14" s="2"/>
      <c r="S14" s="2"/>
    </row>
    <row r="15" spans="1:21" x14ac:dyDescent="0.25">
      <c r="L15" s="2"/>
      <c r="M15" s="2"/>
      <c r="S15" s="2"/>
    </row>
    <row r="16" spans="1:21" x14ac:dyDescent="0.25">
      <c r="L16" s="2"/>
      <c r="M16" s="2"/>
      <c r="S16" s="2"/>
    </row>
  </sheetData>
  <mergeCells count="4">
    <mergeCell ref="A10:G10"/>
    <mergeCell ref="A1:R2"/>
    <mergeCell ref="A3:G3"/>
    <mergeCell ref="M3:R3"/>
  </mergeCells>
  <conditionalFormatting sqref="A4:A7 B4:G4">
    <cfRule type="colorScale" priority="22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A11:F11 A12:A14">
    <cfRule type="colorScale" priority="21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B4:F9 B11:F1048576 G4">
    <cfRule type="colorScale" priority="53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G3:G1048576">
    <cfRule type="cellIs" dxfId="1" priority="41" operator="lessThan">
      <formula>0</formula>
    </cfRule>
    <cfRule type="cellIs" dxfId="0" priority="42" operator="greaterThan">
      <formula>0</formula>
    </cfRule>
  </conditionalFormatting>
  <conditionalFormatting sqref="G11">
    <cfRule type="colorScale" priority="19">
      <colorScale>
        <cfvo type="num" val="0"/>
        <cfvo type="percentile" val="50"/>
        <cfvo type="num" val="1"/>
        <color rgb="FFF8696B"/>
        <color rgb="FFFFEB84"/>
        <color rgb="FF63BE7B"/>
      </colorScale>
    </cfRule>
    <cfRule type="colorScale" priority="20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conditionalFormatting sqref="N4:R4">
    <cfRule type="colorScale" priority="6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One-shot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Artjoms Kučerjavijs</cp:lastModifiedBy>
  <dcterms:created xsi:type="dcterms:W3CDTF">2015-06-05T18:17:20Z</dcterms:created>
  <dcterms:modified xsi:type="dcterms:W3CDTF">2026-05-08T16:58:15Z</dcterms:modified>
</cp:coreProperties>
</file>