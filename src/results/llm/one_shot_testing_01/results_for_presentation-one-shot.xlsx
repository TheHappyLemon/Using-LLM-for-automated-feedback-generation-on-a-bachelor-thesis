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E6562B57-7424-4BBB-AAD7-99089205699F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0" i="1"/>
  <c r="G4" i="1"/>
  <c r="G5" i="1"/>
  <c r="G3" i="1"/>
</calcChain>
</file>

<file path=xl/sharedStrings.xml><?xml version="1.0" encoding="utf-8"?>
<sst xmlns="http://schemas.openxmlformats.org/spreadsheetml/2006/main" count="52" uniqueCount="15">
  <si>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</si>
  <si>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</si>
  <si>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</si>
  <si>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</si>
  <si>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</si>
  <si>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</si>
  <si>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</si>
  <si>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</si>
  <si>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</si>
  <si>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</si>
  <si>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</si>
  <si>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F1 macro diff</t>
  </si>
  <si>
    <t>gemma4-26b-q4 v humanx ZERO-SHOT with 61 text (3 used in shots - removed)</t>
  </si>
  <si>
    <t>gemma4-26b-q4 v humanx ZERO-SHOT with 62 texts (2 used in shots - removed)</t>
  </si>
  <si>
    <t>gemma4-26b-q4 v humanx ZERO-SHOT with 64 texts (ORIGINAL RESULTS)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</si>
</sst>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10" fontId="0" fillId="0" borderId="1" xfId="0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abSelected="1" workbookViewId="0">
      <selection activeCell="R2" sqref="R2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7" width="14.28515625" customWidth="1"/>
    <col min="11" max="11" width="18" style="2" customWidth="1"/>
    <col min="12" max="12" width="17" style="2" customWidth="1"/>
    <col min="13" max="13" width="14.85546875" style="2" customWidth="1"/>
    <col min="14" max="14" width="12.85546875" style="2" customWidth="1"/>
    <col min="15" max="15" width="12.7109375" style="2" customWidth="1"/>
    <col min="17" max="17" width="3.28515625" customWidth="1"/>
    <col min="18" max="18" width="14.28515625" customWidth="1"/>
    <col min="19" max="19" width="20.140625" customWidth="1"/>
    <col min="20" max="20" width="19.85546875" customWidth="1"/>
    <col min="21" max="21" width="16.85546875" customWidth="1"/>
    <col min="22" max="22" width="13" customWidth="1"/>
    <col min="23" max="23" width="14.140625" customWidth="1"/>
  </cols>
  <sheetData>
    <row r="1" spans="1:23" x14ac:dyDescent="0.25">
      <c r="A1" s="4" t="s">
        <v>9</v>
      </c>
      <c r="B1" s="5"/>
      <c r="C1" s="5"/>
      <c r="D1" s="5"/>
      <c r="E1" s="5"/>
      <c r="F1" s="5"/>
      <c r="G1" s="5"/>
      <c r="J1" s="5" t="s">
        <v>12</v>
      </c>
      <c r="K1" s="5"/>
      <c r="L1" s="5"/>
      <c r="M1" s="5"/>
      <c r="N1" s="5"/>
      <c r="O1" s="5"/>
      <c r="R1" s="5" t="s">
        <v>14</v>
      </c>
      <c r="S1" s="5"/>
      <c r="T1" s="5"/>
      <c r="U1" s="5"/>
      <c r="V1" s="5"/>
      <c r="W1" s="5"/>
    </row>
    <row r="2" spans="1:23" x14ac:dyDescent="0.25">
      <c r="A2" s="1" t="s">
        <v>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11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25">
      <c r="A3" s="1" t="s">
        <v>6</v>
      </c>
      <c r="B3" s="3">
        <v>0.85545335085413898</v>
      </c>
      <c r="C3" s="3">
        <v>0.95314787701317705</v>
      </c>
      <c r="D3" s="3">
        <v>0.90166204986149501</v>
      </c>
      <c r="E3" s="3">
        <v>0.869595326990244</v>
      </c>
      <c r="F3" s="3">
        <v>0.74044190704496304</v>
      </c>
      <c r="G3" s="3">
        <f>E3-N3</f>
        <v>6.940374947309591E-4</v>
      </c>
      <c r="J3" s="1" t="s">
        <v>6</v>
      </c>
      <c r="K3" s="2">
        <v>0.86369770580296901</v>
      </c>
      <c r="L3" s="2">
        <v>0.93704245973645595</v>
      </c>
      <c r="M3" s="2">
        <v>0.898876404494382</v>
      </c>
      <c r="N3" s="2">
        <v>0.86890128949551304</v>
      </c>
      <c r="O3" s="2">
        <v>0.73849359928550096</v>
      </c>
      <c r="R3" s="1" t="s">
        <v>6</v>
      </c>
      <c r="S3" s="3">
        <v>0.86658195679796701</v>
      </c>
      <c r="T3" s="3">
        <v>0.93681318681318604</v>
      </c>
      <c r="U3" s="3">
        <v>0.90033003300329995</v>
      </c>
      <c r="V3" s="3">
        <v>0.86783131966413596</v>
      </c>
      <c r="W3" s="3">
        <v>0.73632332330032302</v>
      </c>
    </row>
    <row r="4" spans="1:23" x14ac:dyDescent="0.25">
      <c r="A4" s="1" t="s">
        <v>7</v>
      </c>
      <c r="B4" s="3">
        <v>0.65440210249671404</v>
      </c>
      <c r="C4" s="3">
        <v>0.93785310734463201</v>
      </c>
      <c r="D4" s="3">
        <v>0.77089783281733704</v>
      </c>
      <c r="E4" s="3">
        <v>0.741199403738103</v>
      </c>
      <c r="F4" s="3">
        <v>0.50226189198051197</v>
      </c>
      <c r="G4" s="3">
        <f t="shared" ref="G4:G5" si="0">E4-N4</f>
        <v>-1.1410118009914982E-2</v>
      </c>
      <c r="J4" s="1" t="s">
        <v>7</v>
      </c>
      <c r="K4" s="2">
        <v>0.66666666666666596</v>
      </c>
      <c r="L4" s="2">
        <v>0.93032015065913298</v>
      </c>
      <c r="M4" s="2">
        <v>0.77672955974842695</v>
      </c>
      <c r="N4" s="2">
        <v>0.75260952174801798</v>
      </c>
      <c r="O4" s="2">
        <v>0.52109249737380403</v>
      </c>
      <c r="R4" s="1" t="s">
        <v>7</v>
      </c>
      <c r="S4" s="3">
        <v>0.677255400254129</v>
      </c>
      <c r="T4" s="3">
        <v>0.93508771929824497</v>
      </c>
      <c r="U4" s="3">
        <v>0.78555637435519499</v>
      </c>
      <c r="V4" s="3">
        <v>0.75742934996829503</v>
      </c>
      <c r="W4" s="3">
        <v>0.530029272231755</v>
      </c>
    </row>
    <row r="5" spans="1:23" x14ac:dyDescent="0.25">
      <c r="A5" s="1" t="s">
        <v>8</v>
      </c>
      <c r="B5" s="3">
        <v>0.88699080157687205</v>
      </c>
      <c r="C5" s="3">
        <v>0.9</v>
      </c>
      <c r="D5" s="3">
        <v>0.89344804765056196</v>
      </c>
      <c r="E5" s="3">
        <v>0.84697185529987795</v>
      </c>
      <c r="F5" s="3">
        <v>0.69397407785826604</v>
      </c>
      <c r="G5" s="3">
        <f t="shared" si="0"/>
        <v>1.5221173863415927E-2</v>
      </c>
      <c r="J5" s="1" t="s">
        <v>8</v>
      </c>
      <c r="K5" s="2">
        <v>0.88529014844804299</v>
      </c>
      <c r="L5" s="2">
        <v>0.87466666666666604</v>
      </c>
      <c r="M5" s="2">
        <v>0.87994634473507705</v>
      </c>
      <c r="N5" s="2">
        <v>0.83175068143646202</v>
      </c>
      <c r="O5" s="2">
        <v>0.66352346614896296</v>
      </c>
      <c r="R5" s="1" t="s">
        <v>8</v>
      </c>
      <c r="S5" s="3">
        <v>0.89199491740787795</v>
      </c>
      <c r="T5" s="3">
        <v>0.87969924812029998</v>
      </c>
      <c r="U5" s="3">
        <v>0.88580441640378504</v>
      </c>
      <c r="V5" s="3">
        <v>0.83605451044510404</v>
      </c>
      <c r="W5" s="3">
        <v>0.67213857126683996</v>
      </c>
    </row>
    <row r="8" spans="1:23" x14ac:dyDescent="0.25">
      <c r="A8" s="6" t="s">
        <v>10</v>
      </c>
      <c r="B8" s="7"/>
      <c r="C8" s="7"/>
      <c r="D8" s="7"/>
      <c r="E8" s="7"/>
      <c r="F8" s="7"/>
      <c r="G8" s="7"/>
      <c r="J8" s="5" t="s">
        <v>13</v>
      </c>
      <c r="K8" s="5"/>
      <c r="L8" s="5"/>
      <c r="M8" s="5"/>
      <c r="N8" s="5"/>
      <c r="O8" s="5"/>
    </row>
    <row r="9" spans="1:23" x14ac:dyDescent="0.25">
      <c r="A9" s="1" t="s">
        <v>5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11</v>
      </c>
      <c r="J9" s="1" t="s">
        <v>5</v>
      </c>
      <c r="K9" s="1" t="s">
        <v>0</v>
      </c>
      <c r="L9" s="1" t="s">
        <v>1</v>
      </c>
      <c r="M9" s="1" t="s">
        <v>2</v>
      </c>
      <c r="N9" s="1" t="s">
        <v>3</v>
      </c>
      <c r="O9" s="1" t="s">
        <v>4</v>
      </c>
    </row>
    <row r="10" spans="1:23" x14ac:dyDescent="0.25">
      <c r="A10" s="1" t="s">
        <v>6</v>
      </c>
      <c r="B10" s="3">
        <v>0.85356695869837296</v>
      </c>
      <c r="C10" s="3">
        <v>0.951185495118549</v>
      </c>
      <c r="D10" s="3">
        <v>0.89973614775725597</v>
      </c>
      <c r="E10" s="3">
        <v>0.859391883402437</v>
      </c>
      <c r="F10" s="3">
        <v>0.72026084157967196</v>
      </c>
      <c r="G10" s="3">
        <f>N10-E10</f>
        <v>4.5144835080820345E-3</v>
      </c>
      <c r="J10" s="1" t="s">
        <v>6</v>
      </c>
      <c r="K10" s="2">
        <v>0.86692506459948304</v>
      </c>
      <c r="L10" s="2">
        <v>0.93584379358437897</v>
      </c>
      <c r="M10" s="2">
        <v>0.90006706908115297</v>
      </c>
      <c r="N10" s="2">
        <v>0.86390636691051903</v>
      </c>
      <c r="O10" s="2">
        <v>0.72849669441685905</v>
      </c>
    </row>
    <row r="11" spans="1:23" x14ac:dyDescent="0.25">
      <c r="A11" s="1" t="s">
        <v>7</v>
      </c>
      <c r="B11" s="3">
        <v>0.66708385481852295</v>
      </c>
      <c r="C11" s="3">
        <v>0.94503546099290703</v>
      </c>
      <c r="D11" s="3">
        <v>0.78209831254585405</v>
      </c>
      <c r="E11" s="3">
        <v>0.74150232847836495</v>
      </c>
      <c r="F11" s="3">
        <v>0.50327255793350301</v>
      </c>
      <c r="G11" s="3">
        <f t="shared" ref="G11:G12" si="1">N11-E11</f>
        <v>1.2879926947878095E-2</v>
      </c>
      <c r="J11" s="1" t="s">
        <v>7</v>
      </c>
      <c r="K11" s="2">
        <v>0.68087855297157596</v>
      </c>
      <c r="L11" s="2">
        <v>0.93439716312056698</v>
      </c>
      <c r="M11" s="2">
        <v>0.78774289985052304</v>
      </c>
      <c r="N11" s="2">
        <v>0.75438225542624304</v>
      </c>
      <c r="O11" s="2">
        <v>0.52417037884089102</v>
      </c>
    </row>
    <row r="12" spans="1:23" x14ac:dyDescent="0.25">
      <c r="A12" s="1" t="s">
        <v>8</v>
      </c>
      <c r="B12" s="3">
        <v>0.88610763454317898</v>
      </c>
      <c r="C12" s="3">
        <v>0.90653008962868098</v>
      </c>
      <c r="D12" s="3">
        <v>0.89620253164556896</v>
      </c>
      <c r="E12" s="3">
        <v>0.84243116273000096</v>
      </c>
      <c r="F12" s="3">
        <v>0.68494558073848399</v>
      </c>
      <c r="G12" s="3">
        <f t="shared" si="1"/>
        <v>-7.939711128104987E-3</v>
      </c>
      <c r="J12" s="1" t="s">
        <v>8</v>
      </c>
      <c r="K12" s="2">
        <v>0.89147286821705396</v>
      </c>
      <c r="L12" s="2">
        <v>0.88348271446862903</v>
      </c>
      <c r="M12" s="2">
        <v>0.887459807073955</v>
      </c>
      <c r="N12" s="2">
        <v>0.83449145160189597</v>
      </c>
      <c r="O12" s="2">
        <v>0.66899592486857695</v>
      </c>
    </row>
  </sheetData>
  <mergeCells count="5">
    <mergeCell ref="A1:G1"/>
    <mergeCell ref="R1:W1"/>
    <mergeCell ref="A8:G8"/>
    <mergeCell ref="J1:O1"/>
    <mergeCell ref="J8:O8"/>
  </mergeCells>
  <conditionalFormatting sqref="A2:A5 A2:G2"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9:F9 A10:A12">
    <cfRule type="colorScale" priority="2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:F7 B9:F1048576 G2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1048576">
    <cfRule type="cellIs" dxfId="1" priority="11" operator="lessThan">
      <formula>0</formula>
    </cfRule>
    <cfRule type="cellIs" dxfId="0" priority="12" operator="greaterThan">
      <formula>0</formula>
    </cfRule>
  </conditionalFormatting>
  <conditionalFormatting sqref="G9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J5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J12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2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3:O3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4:O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5:O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9:O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0:O10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1:O11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2:O12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2:R5">
    <cfRule type="colorScale" priority="1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2:W2">
    <cfRule type="colorScale" priority="1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3:W3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W4">
    <cfRule type="colorScale" priority="1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5:W5">
    <cfRule type="colorScale" priority="1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2026-04-17T21:52:58Z</dcterms:modified>
</cp:coreProperties>
</file>