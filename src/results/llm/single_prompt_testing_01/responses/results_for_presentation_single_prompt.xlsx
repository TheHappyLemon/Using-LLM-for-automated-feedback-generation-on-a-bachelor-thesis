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single_prompt_testing_01\responses\"/>
    </mc:Choice>
  </mc:AlternateContent>
  <xr:revisionPtr revIDLastSave="0" documentId="13_ncr:1_{3FC31A5F-E1BA-4AF4-A717-F9E72735AF1A}" xr6:coauthVersionLast="47" xr6:coauthVersionMax="47" xr10:uidLastSave="{00000000-0000-0000-0000-000000000000}"/>
  <bookViews>
    <workbookView xWindow="-28920" yWindow="15" windowWidth="29040" windowHeight="15720" xr2:uid="{00000000-000D-0000-FFFF-FFFF00000000}"/>
  </bookViews>
  <sheets>
    <sheet name="Single_promp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F18" i="1"/>
  <c r="F16" i="1"/>
  <c r="I4" i="1"/>
  <c r="I10" i="1"/>
</calcChain>
</file>

<file path=xl/sharedStrings.xml><?xml version="1.0" encoding="utf-8"?>
<sst xmlns="http://schemas.openxmlformats.org/spreadsheetml/2006/main" count="37" uniqueCount="17">
  <si>
    <t>human1</t>
  </si>
  <si>
    <t>human2</t>
  </si>
  <si>
    <t>human3</t>
  </si>
  <si>
    <t>Precision_positive</t>
  </si>
  <si>
    <t>Recall_positive</t>
  </si>
  <si>
    <t>F1_positive</t>
  </si>
  <si>
    <t>F1_macro</t>
  </si>
  <si>
    <t>CohenKappa</t>
  </si>
  <si>
    <t>gemma4-26b-q4 vs humanx when 'feeback' field absence caused parsing error</t>
  </si>
  <si>
    <t>gemma4-26b-q4 vs humanx when 'feeback' field was optional</t>
  </si>
  <si>
    <t>percentage not parsed</t>
  </si>
  <si>
    <t>gemma4-26b-q4 vs humanx after parsing with json-repair</t>
  </si>
  <si>
    <t>Total of unparsed questions</t>
  </si>
  <si>
    <t>F1_macro diff</t>
  </si>
  <si>
    <t>Initial testing results with t=0 and 1 iteration (with json-repair)</t>
  </si>
  <si>
    <t>37 JSONs which is</t>
  </si>
  <si>
    <t>20 JSONs which 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</si>
</sst>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1">
    <xf numFmtId="0" fontId="0" fillId="0" borderId="0" xfId="0"/>
    <xf numFmtId="10" fontId="0" fillId="0" borderId="0" xfId="0" applyNumberFormat="1"/>
    <xf numFmtId="0" fontId="1" fillId="0" borderId="0" xfId="0" applyFont="1" applyAlignment="1">
      <alignment horizontal="center"/>
    </xf>
    <xf numFmtId="10" fontId="1" fillId="0" borderId="0" xfId="0" applyNumberFormat="1" applyFont="1"/>
    <xf numFmtId="0" fontId="1" fillId="0" borderId="1" xfId="0" applyFont="1" applyBorder="1"/>
    <xf numFmtId="10" fontId="1" fillId="0" borderId="1" xfId="0" applyNumberFormat="1" applyFont="1" applyBorder="1"/>
    <xf numFmtId="10" fontId="0" fillId="0" borderId="1" xfId="0" applyNumberFormat="1" applyBorder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2" fillId="2" borderId="0" xfId="1" applyAlignment="1">
      <alignment horizontal="center"/>
    </xf>
    <xf numFmtId="10" fontId="0" fillId="0" borderId="0" xfId="0" applyNumberFormat="1" applyFont="1"/>
  </cellXfs>
  <cellStyles count="2">
    <cellStyle name="Neutral" xfId="1" builtinId="2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8"/>
  <sheetViews>
    <sheetView tabSelected="1" workbookViewId="0">
      <selection activeCell="J26" sqref="J26"/>
    </sheetView>
  </sheetViews>
  <sheetFormatPr defaultRowHeight="15" x14ac:dyDescent="0.25"/>
  <cols>
    <col min="2" max="2" width="20.7109375" style="1" customWidth="1"/>
    <col min="3" max="3" width="16.42578125" style="1" customWidth="1"/>
    <col min="4" max="4" width="14.7109375" style="1" customWidth="1"/>
    <col min="5" max="5" width="11.7109375" style="1" customWidth="1"/>
    <col min="6" max="6" width="14.42578125" style="1" customWidth="1"/>
    <col min="7" max="7" width="13.28515625" style="1" customWidth="1"/>
    <col min="9" max="9" width="24.85546875" customWidth="1"/>
    <col min="16" max="16" width="11.140625" customWidth="1"/>
  </cols>
  <sheetData>
    <row r="1" spans="1:16" x14ac:dyDescent="0.25">
      <c r="A1" s="7" t="s">
        <v>8</v>
      </c>
      <c r="B1" s="7"/>
      <c r="C1" s="7"/>
      <c r="D1" s="7"/>
      <c r="E1" s="7"/>
      <c r="F1" s="7"/>
      <c r="G1" s="7"/>
    </row>
    <row r="2" spans="1:16" x14ac:dyDescent="0.25">
      <c r="B2" s="1" t="s">
        <v>3</v>
      </c>
      <c r="C2" s="1" t="s">
        <v>4</v>
      </c>
      <c r="D2" s="1" t="s">
        <v>5</v>
      </c>
      <c r="E2" s="1" t="s">
        <v>6</v>
      </c>
      <c r="G2" s="1" t="s">
        <v>7</v>
      </c>
      <c r="K2" s="9" t="s">
        <v>14</v>
      </c>
      <c r="L2" s="9"/>
      <c r="M2" s="9"/>
      <c r="N2" s="9"/>
      <c r="O2" s="9"/>
      <c r="P2" s="9"/>
    </row>
    <row r="3" spans="1:16" x14ac:dyDescent="0.25">
      <c r="A3" t="s">
        <v>0</v>
      </c>
      <c r="B3" s="1">
        <v>0.86513994910941405</v>
      </c>
      <c r="C3" s="1">
        <v>0.46703296703296698</v>
      </c>
      <c r="D3" s="1">
        <v>0.60660124888492395</v>
      </c>
      <c r="E3" s="1">
        <v>0.63510840476282804</v>
      </c>
      <c r="G3" s="1">
        <v>0.32199138227499802</v>
      </c>
      <c r="I3" t="s">
        <v>15</v>
      </c>
      <c r="K3" t="s">
        <v>0</v>
      </c>
      <c r="L3" s="10">
        <v>0.87275111483504597</v>
      </c>
    </row>
    <row r="4" spans="1:16" x14ac:dyDescent="0.25">
      <c r="A4" t="s">
        <v>1</v>
      </c>
      <c r="B4" s="1">
        <v>0.631043256997455</v>
      </c>
      <c r="C4" s="1">
        <v>0.43508771929824502</v>
      </c>
      <c r="D4" s="1">
        <v>0.515057113187954</v>
      </c>
      <c r="E4" s="1">
        <v>0.59857688879275095</v>
      </c>
      <c r="G4" s="1">
        <v>0.214548512561757</v>
      </c>
      <c r="I4" s="2">
        <f>(37/64)*100</f>
        <v>57.8125</v>
      </c>
      <c r="K4" t="s">
        <v>1</v>
      </c>
      <c r="L4" s="10">
        <v>0.76214905902143104</v>
      </c>
    </row>
    <row r="5" spans="1:16" x14ac:dyDescent="0.25">
      <c r="A5" t="s">
        <v>2</v>
      </c>
      <c r="B5" s="1">
        <v>0.87022900763358702</v>
      </c>
      <c r="C5" s="1">
        <v>0.42857142857142799</v>
      </c>
      <c r="D5" s="1">
        <v>0.57430730478589398</v>
      </c>
      <c r="E5" s="1">
        <v>0.58288290299729795</v>
      </c>
      <c r="G5" s="1">
        <v>0.24909747292418699</v>
      </c>
      <c r="I5" t="s">
        <v>10</v>
      </c>
      <c r="K5" t="s">
        <v>2</v>
      </c>
      <c r="L5" s="10">
        <v>0.83914274034009595</v>
      </c>
    </row>
    <row r="7" spans="1:16" x14ac:dyDescent="0.25">
      <c r="A7" s="7" t="s">
        <v>9</v>
      </c>
      <c r="B7" s="7"/>
      <c r="C7" s="7"/>
      <c r="D7" s="7"/>
      <c r="E7" s="7"/>
      <c r="F7" s="7"/>
      <c r="G7" s="7"/>
    </row>
    <row r="8" spans="1:16" x14ac:dyDescent="0.25">
      <c r="B8" s="1" t="s">
        <v>3</v>
      </c>
      <c r="C8" s="1" t="s">
        <v>4</v>
      </c>
      <c r="D8" s="1" t="s">
        <v>5</v>
      </c>
      <c r="E8" s="1" t="s">
        <v>6</v>
      </c>
      <c r="G8" s="1" t="s">
        <v>7</v>
      </c>
    </row>
    <row r="9" spans="1:16" x14ac:dyDescent="0.25">
      <c r="A9" t="s">
        <v>0</v>
      </c>
      <c r="B9" s="1">
        <v>0.83447098976109202</v>
      </c>
      <c r="C9" s="1">
        <v>0.67170329670329598</v>
      </c>
      <c r="D9" s="1">
        <v>0.74429223744292194</v>
      </c>
      <c r="E9" s="1">
        <v>0.72187778240661304</v>
      </c>
      <c r="G9" s="1">
        <v>0.451287120202845</v>
      </c>
      <c r="I9" t="s">
        <v>16</v>
      </c>
    </row>
    <row r="10" spans="1:16" x14ac:dyDescent="0.25">
      <c r="A10" t="s">
        <v>1</v>
      </c>
      <c r="B10" s="1">
        <v>0.639931740614334</v>
      </c>
      <c r="C10" s="1">
        <v>0.65789473684210498</v>
      </c>
      <c r="D10" s="1">
        <v>0.64878892733563998</v>
      </c>
      <c r="E10" s="1">
        <v>0.66530355457691004</v>
      </c>
      <c r="G10" s="1">
        <v>0.330723263960436</v>
      </c>
      <c r="I10" s="2">
        <f>(20/64)*100</f>
        <v>31.25</v>
      </c>
    </row>
    <row r="11" spans="1:16" x14ac:dyDescent="0.25">
      <c r="A11" t="s">
        <v>2</v>
      </c>
      <c r="B11" s="1">
        <v>0.86177474402730303</v>
      </c>
      <c r="C11" s="1">
        <v>0.63283208020050097</v>
      </c>
      <c r="D11" s="1">
        <v>0.729768786127167</v>
      </c>
      <c r="E11" s="1">
        <v>0.68644927855976701</v>
      </c>
      <c r="G11" s="1">
        <v>0.39174628989631999</v>
      </c>
      <c r="I11" t="s">
        <v>10</v>
      </c>
    </row>
    <row r="14" spans="1:16" x14ac:dyDescent="0.25">
      <c r="A14" s="8" t="s">
        <v>11</v>
      </c>
      <c r="B14" s="8"/>
      <c r="C14" s="8"/>
      <c r="D14" s="8"/>
      <c r="E14" s="8"/>
      <c r="F14" s="8"/>
      <c r="G14" s="8"/>
    </row>
    <row r="15" spans="1:16" x14ac:dyDescent="0.25">
      <c r="A15" s="4"/>
      <c r="B15" s="5" t="s">
        <v>3</v>
      </c>
      <c r="C15" s="5" t="s">
        <v>4</v>
      </c>
      <c r="D15" s="5" t="s">
        <v>5</v>
      </c>
      <c r="E15" s="5" t="s">
        <v>6</v>
      </c>
      <c r="F15" s="5" t="s">
        <v>13</v>
      </c>
      <c r="G15" s="5" t="s">
        <v>7</v>
      </c>
      <c r="I15" s="3" t="s">
        <v>12</v>
      </c>
    </row>
    <row r="16" spans="1:16" x14ac:dyDescent="0.25">
      <c r="A16" s="4" t="s">
        <v>0</v>
      </c>
      <c r="B16" s="6">
        <v>0.82063305978898005</v>
      </c>
      <c r="C16" s="6">
        <v>0.96153846153846101</v>
      </c>
      <c r="D16" s="6">
        <v>0.88551549652118899</v>
      </c>
      <c r="E16" s="6">
        <v>0.83641227234990101</v>
      </c>
      <c r="F16" s="6">
        <f>E16-L3</f>
        <v>-3.6338842485144962E-2</v>
      </c>
      <c r="G16" s="6">
        <v>0.676580537465027</v>
      </c>
      <c r="I16">
        <v>29</v>
      </c>
    </row>
    <row r="17" spans="1:7" x14ac:dyDescent="0.25">
      <c r="A17" s="4" t="s">
        <v>1</v>
      </c>
      <c r="B17" s="6">
        <v>0.64009378663540395</v>
      </c>
      <c r="C17" s="6">
        <v>0.95789473684210502</v>
      </c>
      <c r="D17" s="6">
        <v>0.76739283204497499</v>
      </c>
      <c r="E17" s="6">
        <v>0.71967263009582705</v>
      </c>
      <c r="F17" s="6">
        <f t="shared" ref="F17:F18" si="0">E17-L4</f>
        <v>-4.2476428925603993E-2</v>
      </c>
      <c r="G17" s="6">
        <v>0.46896620876366102</v>
      </c>
    </row>
    <row r="18" spans="1:7" x14ac:dyDescent="0.25">
      <c r="A18" s="4" t="s">
        <v>2</v>
      </c>
      <c r="B18" s="6">
        <v>0.86869871043376301</v>
      </c>
      <c r="C18" s="6">
        <v>0.92857142857142805</v>
      </c>
      <c r="D18" s="6">
        <v>0.89763779527558996</v>
      </c>
      <c r="E18" s="6">
        <v>0.84062427535866502</v>
      </c>
      <c r="F18" s="6">
        <f t="shared" si="0"/>
        <v>1.481535018569069E-3</v>
      </c>
      <c r="G18" s="6">
        <v>0.68199459014465402</v>
      </c>
    </row>
  </sheetData>
  <mergeCells count="4">
    <mergeCell ref="A1:G1"/>
    <mergeCell ref="A7:G7"/>
    <mergeCell ref="A14:G14"/>
    <mergeCell ref="K2:P2"/>
  </mergeCells>
  <conditionalFormatting sqref="B1:E1048576 I15 G1:G1048576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L3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L4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L5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F16:F18">
    <cfRule type="cellIs" dxfId="2" priority="2" operator="greaterThan">
      <formula>0</formula>
    </cfRule>
  </conditionalFormatting>
  <conditionalFormatting sqref="F16:F17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Single_prompt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2026-04-21T08:23:15Z</dcterms:modified>
</cp:coreProperties>
</file>