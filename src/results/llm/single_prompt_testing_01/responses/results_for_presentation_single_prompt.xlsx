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epos\Using-LLM-for-automated-feedback-generation-on-a-bachelor-thesis\src\results\llm\single_prompt_testing_01\responses\"/>
    </mc:Choice>
  </mc:AlternateContent>
  <xr:revisionPtr revIDLastSave="0" documentId="13_ncr:1_{8AE37CFA-752D-40AC-A8CF-ADFE1C4F1433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10" i="1"/>
</calcChain>
</file>

<file path=xl/sharedStrings.xml><?xml version="1.0" encoding="utf-8"?>
<sst xmlns="http://schemas.openxmlformats.org/spreadsheetml/2006/main" count="22" uniqueCount="13">
  <si>
    <t>human1</t>
  </si>
  <si>
    <t>human2</t>
  </si>
  <si>
    <t>human3</t>
  </si>
  <si>
    <t>Precision_positive</t>
  </si>
  <si>
    <t>Recall_positive</t>
  </si>
  <si>
    <t>F1_positive</t>
  </si>
  <si>
    <t>F1_macro</t>
  </si>
  <si>
    <t>CohenKappa</t>
  </si>
  <si>
    <t>gemma4-26b-q4 vs humanx when 'feeback' field absence caused parsing error</t>
  </si>
  <si>
    <t>gemma4-26b-q4 vs humanx when 'feeback' field was optional</t>
  </si>
  <si>
    <t>20 cases which is</t>
  </si>
  <si>
    <t>37 cases which is</t>
  </si>
  <si>
    <t>percentage not 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</si>
</sst>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L11" sqref="L11"/>
    </sheetView>
  </sheetViews>
  <sheetFormatPr defaultRowHeight="15" x14ac:dyDescent="0.25"/>
  <cols>
    <col min="2" max="2" width="20.7109375" style="2" customWidth="1"/>
    <col min="3" max="3" width="16.42578125" style="2" customWidth="1"/>
    <col min="4" max="4" width="14.7109375" style="2" customWidth="1"/>
    <col min="5" max="5" width="11.7109375" style="2" customWidth="1"/>
    <col min="6" max="6" width="13.28515625" style="2" customWidth="1"/>
    <col min="8" max="8" width="24.85546875" customWidth="1"/>
  </cols>
  <sheetData>
    <row r="1" spans="1:8" x14ac:dyDescent="0.25">
      <c r="A1" s="1" t="s">
        <v>8</v>
      </c>
      <c r="B1" s="1"/>
      <c r="C1" s="1"/>
      <c r="D1" s="1"/>
      <c r="E1" s="1"/>
      <c r="F1" s="1"/>
    </row>
    <row r="2" spans="1:8" x14ac:dyDescent="0.25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8" x14ac:dyDescent="0.25">
      <c r="A3" t="s">
        <v>0</v>
      </c>
      <c r="B3" s="2">
        <v>0.86513994910941405</v>
      </c>
      <c r="C3" s="2">
        <v>0.46703296703296698</v>
      </c>
      <c r="D3" s="2">
        <v>0.60660124888492395</v>
      </c>
      <c r="E3" s="2">
        <v>0.63510840476282804</v>
      </c>
      <c r="F3" s="2">
        <v>0.32199138227499802</v>
      </c>
      <c r="H3" t="s">
        <v>11</v>
      </c>
    </row>
    <row r="4" spans="1:8" x14ac:dyDescent="0.25">
      <c r="A4" t="s">
        <v>1</v>
      </c>
      <c r="B4" s="2">
        <v>0.631043256997455</v>
      </c>
      <c r="C4" s="2">
        <v>0.43508771929824502</v>
      </c>
      <c r="D4" s="2">
        <v>0.515057113187954</v>
      </c>
      <c r="E4" s="2">
        <v>0.59857688879275095</v>
      </c>
      <c r="F4" s="2">
        <v>0.214548512561757</v>
      </c>
      <c r="H4" s="3">
        <f>(37/64)*100</f>
        <v>57.8125</v>
      </c>
    </row>
    <row r="5" spans="1:8" x14ac:dyDescent="0.25">
      <c r="A5" t="s">
        <v>2</v>
      </c>
      <c r="B5" s="2">
        <v>0.87022900763358702</v>
      </c>
      <c r="C5" s="2">
        <v>0.42857142857142799</v>
      </c>
      <c r="D5" s="2">
        <v>0.57430730478589398</v>
      </c>
      <c r="E5" s="2">
        <v>0.58288290299729795</v>
      </c>
      <c r="F5" s="2">
        <v>0.24909747292418699</v>
      </c>
      <c r="H5" t="s">
        <v>12</v>
      </c>
    </row>
    <row r="7" spans="1:8" x14ac:dyDescent="0.25">
      <c r="A7" s="1" t="s">
        <v>9</v>
      </c>
      <c r="B7" s="1"/>
      <c r="C7" s="1"/>
      <c r="D7" s="1"/>
      <c r="E7" s="1"/>
      <c r="F7" s="1"/>
    </row>
    <row r="8" spans="1:8" x14ac:dyDescent="0.25"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</row>
    <row r="9" spans="1:8" x14ac:dyDescent="0.25">
      <c r="A9" t="s">
        <v>0</v>
      </c>
      <c r="B9" s="2">
        <v>0.83447098976109202</v>
      </c>
      <c r="C9" s="2">
        <v>0.67170329670329598</v>
      </c>
      <c r="D9" s="2">
        <v>0.74429223744292194</v>
      </c>
      <c r="E9" s="2">
        <v>0.72187778240661304</v>
      </c>
      <c r="F9" s="2">
        <v>0.451287120202845</v>
      </c>
      <c r="H9" t="s">
        <v>10</v>
      </c>
    </row>
    <row r="10" spans="1:8" x14ac:dyDescent="0.25">
      <c r="A10" t="s">
        <v>1</v>
      </c>
      <c r="B10" s="2">
        <v>0.639931740614334</v>
      </c>
      <c r="C10" s="2">
        <v>0.65789473684210498</v>
      </c>
      <c r="D10" s="2">
        <v>0.64878892733563998</v>
      </c>
      <c r="E10" s="2">
        <v>0.66530355457691004</v>
      </c>
      <c r="F10" s="2">
        <v>0.330723263960436</v>
      </c>
      <c r="H10" s="3">
        <f>(20/64)*100</f>
        <v>31.25</v>
      </c>
    </row>
    <row r="11" spans="1:8" x14ac:dyDescent="0.25">
      <c r="A11" t="s">
        <v>2</v>
      </c>
      <c r="B11" s="2">
        <v>0.86177474402730303</v>
      </c>
      <c r="C11" s="2">
        <v>0.63283208020050097</v>
      </c>
      <c r="D11" s="2">
        <v>0.729768786127167</v>
      </c>
      <c r="E11" s="2">
        <v>0.68644927855976701</v>
      </c>
      <c r="F11" s="2">
        <v>0.39174628989631999</v>
      </c>
      <c r="H11" t="s">
        <v>12</v>
      </c>
    </row>
  </sheetData>
  <mergeCells count="2">
    <mergeCell ref="A1:F1"/>
    <mergeCell ref="A7:F7"/>
  </mergeCells>
  <conditionalFormatting sqref="B1:F1048576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Artjoms Kučerjavijs</cp:lastModifiedBy>
  <dcterms:created xsi:type="dcterms:W3CDTF">2015-06-05T18:17:20Z</dcterms:created>
  <dcterms:modified xsi:type="dcterms:W3CDTF">2026-04-16T19:27:21Z</dcterms:modified>
</cp:coreProperties>
</file>